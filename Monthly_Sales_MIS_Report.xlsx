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8A75D1C-F541-4481-9A2F-8D80A410F0B4}" xr6:coauthVersionLast="47" xr6:coauthVersionMax="47" xr10:uidLastSave="{00000000-0000-0000-0000-000000000000}"/>
  <bookViews>
    <workbookView xWindow="-108" yWindow="-108" windowWidth="23256" windowHeight="12456" firstSheet="3" activeTab="4" xr2:uid="{EFDECBD4-53CB-4848-86F5-5165DCDD086F}"/>
  </bookViews>
  <sheets>
    <sheet name="Summary" sheetId="8" r:id="rId1"/>
    <sheet name="Charts" sheetId="7" r:id="rId2"/>
    <sheet name="Pivot" sheetId="6" r:id="rId3"/>
    <sheet name="SUMIF Analysis" sheetId="5" r:id="rId4"/>
    <sheet name="Clean data" sheetId="2" r:id="rId5"/>
    <sheet name="product master" sheetId="4" r:id="rId6"/>
  </sheets>
  <definedNames>
    <definedName name="ExternalData_1" localSheetId="4" hidden="1">'Clean data'!$A$1:$G$490</definedName>
    <definedName name="ExternalData_2" localSheetId="5" hidden="1">'product master'!$A$1:$C$12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15" i="8"/>
  <c r="B13" i="8"/>
  <c r="C12" i="8"/>
  <c r="B12" i="8"/>
  <c r="C11" i="8"/>
  <c r="B11" i="8"/>
  <c r="B10" i="8"/>
  <c r="B9" i="8"/>
  <c r="B5" i="8"/>
  <c r="B33" i="7"/>
  <c r="A33" i="7" s="1"/>
  <c r="B34" i="7"/>
  <c r="A34" i="7" s="1"/>
  <c r="B35" i="7"/>
  <c r="A35" i="7" s="1"/>
  <c r="B36" i="7"/>
  <c r="A36" i="7" s="1"/>
  <c r="B32" i="7"/>
  <c r="A32" i="7" s="1"/>
  <c r="B19" i="7"/>
  <c r="B20" i="7"/>
  <c r="B21" i="7"/>
  <c r="A19" i="7"/>
  <c r="A20" i="7"/>
  <c r="A21" i="7"/>
  <c r="B18" i="7"/>
  <c r="A18" i="7"/>
  <c r="B3" i="7"/>
  <c r="B4" i="7"/>
  <c r="B5" i="7"/>
  <c r="B6" i="7"/>
  <c r="B7" i="7"/>
  <c r="B2" i="7"/>
  <c r="B2" i="5"/>
  <c r="B3" i="5"/>
  <c r="B4" i="5"/>
  <c r="B5" i="5"/>
  <c r="E2" i="5"/>
  <c r="E3" i="5"/>
  <c r="E4" i="5"/>
  <c r="E5" i="5"/>
  <c r="E6" i="5"/>
  <c r="E7" i="5"/>
  <c r="E8" i="5"/>
  <c r="E9" i="5"/>
  <c r="E10" i="5"/>
  <c r="E11" i="5"/>
  <c r="E12" i="5"/>
  <c r="J3" i="2"/>
  <c r="J15" i="2"/>
  <c r="J23" i="2"/>
  <c r="J36" i="2"/>
  <c r="J40" i="2"/>
  <c r="J49" i="2"/>
  <c r="J50" i="2"/>
  <c r="J53" i="2"/>
  <c r="J55" i="2"/>
  <c r="J57" i="2"/>
  <c r="J61" i="2"/>
  <c r="J75" i="2"/>
  <c r="J86" i="2"/>
  <c r="J88" i="2"/>
  <c r="J99" i="2"/>
  <c r="J109" i="2"/>
  <c r="J120" i="2"/>
  <c r="J128" i="2"/>
  <c r="J134" i="2"/>
  <c r="J151" i="2"/>
  <c r="J161" i="2"/>
  <c r="J170" i="2"/>
  <c r="J173" i="2"/>
  <c r="J181" i="2"/>
  <c r="J186" i="2"/>
  <c r="J193" i="2"/>
  <c r="J194" i="2"/>
  <c r="J205" i="2"/>
  <c r="J206" i="2"/>
  <c r="J236" i="2"/>
  <c r="J246" i="2"/>
  <c r="J257" i="2"/>
  <c r="J258" i="2"/>
  <c r="J264" i="2"/>
  <c r="J274" i="2"/>
  <c r="J278" i="2"/>
  <c r="J280" i="2"/>
  <c r="J289" i="2"/>
  <c r="J311" i="2"/>
  <c r="J312" i="2"/>
  <c r="J318" i="2"/>
  <c r="J322" i="2"/>
  <c r="J333" i="2"/>
  <c r="J334" i="2"/>
  <c r="J335" i="2"/>
  <c r="J366" i="2"/>
  <c r="J384" i="2"/>
  <c r="J392" i="2"/>
  <c r="J394" i="2"/>
  <c r="J396" i="2"/>
  <c r="J399" i="2"/>
  <c r="J427" i="2"/>
  <c r="J446" i="2"/>
  <c r="J462" i="2"/>
  <c r="J470" i="2"/>
  <c r="J6" i="2"/>
  <c r="J10" i="2"/>
  <c r="J17" i="2"/>
  <c r="J21" i="2"/>
  <c r="J39" i="2"/>
  <c r="J45" i="2"/>
  <c r="J51" i="2"/>
  <c r="J59" i="2"/>
  <c r="J60" i="2"/>
  <c r="J62" i="2"/>
  <c r="J68" i="2"/>
  <c r="J95" i="2"/>
  <c r="J97" i="2"/>
  <c r="J104" i="2"/>
  <c r="J106" i="2"/>
  <c r="J118" i="2"/>
  <c r="J122" i="2"/>
  <c r="J137" i="2"/>
  <c r="J140" i="2"/>
  <c r="J155" i="2"/>
  <c r="J159" i="2"/>
  <c r="J164" i="2"/>
  <c r="J183" i="2"/>
  <c r="J218" i="2"/>
  <c r="J224" i="2"/>
  <c r="J226" i="2"/>
  <c r="J242" i="2"/>
  <c r="J243" i="2"/>
  <c r="J260" i="2"/>
  <c r="J271" i="2"/>
  <c r="J276" i="2"/>
  <c r="J281" i="2"/>
  <c r="J283" i="2"/>
  <c r="J293" i="2"/>
  <c r="J299" i="2"/>
  <c r="J307" i="2"/>
  <c r="J321" i="2"/>
  <c r="J323" i="2"/>
  <c r="J324" i="2"/>
  <c r="J331" i="2"/>
  <c r="J341" i="2"/>
  <c r="J342" i="2"/>
  <c r="J355" i="2"/>
  <c r="J360" i="2"/>
  <c r="J363" i="2"/>
  <c r="J372" i="2"/>
  <c r="J373" i="2"/>
  <c r="J377" i="2"/>
  <c r="J379" i="2"/>
  <c r="J387" i="2"/>
  <c r="J414" i="2"/>
  <c r="J418" i="2"/>
  <c r="J435" i="2"/>
  <c r="J441" i="2"/>
  <c r="J442" i="2"/>
  <c r="J444" i="2"/>
  <c r="J447" i="2"/>
  <c r="J454" i="2"/>
  <c r="J456" i="2"/>
  <c r="J458" i="2"/>
  <c r="J460" i="2"/>
  <c r="J461" i="2"/>
  <c r="J465" i="2"/>
  <c r="J466" i="2"/>
  <c r="J469" i="2"/>
  <c r="J472" i="2"/>
  <c r="J482" i="2"/>
  <c r="J487" i="2"/>
  <c r="J5" i="2"/>
  <c r="J8" i="2"/>
  <c r="J20" i="2"/>
  <c r="J29" i="2"/>
  <c r="J32" i="2"/>
  <c r="J35" i="2"/>
  <c r="J43" i="2"/>
  <c r="J64" i="2"/>
  <c r="J69" i="2"/>
  <c r="J70" i="2"/>
  <c r="J80" i="2"/>
  <c r="J81" i="2"/>
  <c r="J100" i="2"/>
  <c r="J101" i="2"/>
  <c r="J102" i="2"/>
  <c r="J113" i="2"/>
  <c r="J116" i="2"/>
  <c r="J119" i="2"/>
  <c r="J129" i="2"/>
  <c r="J133" i="2"/>
  <c r="J138" i="2"/>
  <c r="J150" i="2"/>
  <c r="J154" i="2"/>
  <c r="J157" i="2"/>
  <c r="J165" i="2"/>
  <c r="J166" i="2"/>
  <c r="J167" i="2"/>
  <c r="J169" i="2"/>
  <c r="J174" i="2"/>
  <c r="J197" i="2"/>
  <c r="J198" i="2"/>
  <c r="J199" i="2"/>
  <c r="J203" i="2"/>
  <c r="J207" i="2"/>
  <c r="J211" i="2"/>
  <c r="J213" i="2"/>
  <c r="J219" i="2"/>
  <c r="J228" i="2"/>
  <c r="J235" i="2"/>
  <c r="J251" i="2"/>
  <c r="J253" i="2"/>
  <c r="J255" i="2"/>
  <c r="J261" i="2"/>
  <c r="J262" i="2"/>
  <c r="J275" i="2"/>
  <c r="J284" i="2"/>
  <c r="J310" i="2"/>
  <c r="J329" i="2"/>
  <c r="J336" i="2"/>
  <c r="J352" i="2"/>
  <c r="J353" i="2"/>
  <c r="J357" i="2"/>
  <c r="J358" i="2"/>
  <c r="J362" i="2"/>
  <c r="J370" i="2"/>
  <c r="J376" i="2"/>
  <c r="J381" i="2"/>
  <c r="J389" i="2"/>
  <c r="J395" i="2"/>
  <c r="J398" i="2"/>
  <c r="J406" i="2"/>
  <c r="J407" i="2"/>
  <c r="J408" i="2"/>
  <c r="J413" i="2"/>
  <c r="J421" i="2"/>
  <c r="J425" i="2"/>
  <c r="J429" i="2"/>
  <c r="J433" i="2"/>
  <c r="J438" i="2"/>
  <c r="J449" i="2"/>
  <c r="J453" i="2"/>
  <c r="J455" i="2"/>
  <c r="J463" i="2"/>
  <c r="J464" i="2"/>
  <c r="J471" i="2"/>
  <c r="J473" i="2"/>
  <c r="J480" i="2"/>
  <c r="J483" i="2"/>
  <c r="J485" i="2"/>
  <c r="J27" i="2"/>
  <c r="J38" i="2"/>
  <c r="J42" i="2"/>
  <c r="J44" i="2"/>
  <c r="J72" i="2"/>
  <c r="J76" i="2"/>
  <c r="J78" i="2"/>
  <c r="J79" i="2"/>
  <c r="J83" i="2"/>
  <c r="J85" i="2"/>
  <c r="J91" i="2"/>
  <c r="J93" i="2"/>
  <c r="J94" i="2"/>
  <c r="J96" i="2"/>
  <c r="J98" i="2"/>
  <c r="J115" i="2"/>
  <c r="J117" i="2"/>
  <c r="J132" i="2"/>
  <c r="J135" i="2"/>
  <c r="J142" i="2"/>
  <c r="J153" i="2"/>
  <c r="J156" i="2"/>
  <c r="J160" i="2"/>
  <c r="J168" i="2"/>
  <c r="J171" i="2"/>
  <c r="J172" i="2"/>
  <c r="J180" i="2"/>
  <c r="J182" i="2"/>
  <c r="J191" i="2"/>
  <c r="J195" i="2"/>
  <c r="J201" i="2"/>
  <c r="J217" i="2"/>
  <c r="J223" i="2"/>
  <c r="J227" i="2"/>
  <c r="J229" i="2"/>
  <c r="J241" i="2"/>
  <c r="J259" i="2"/>
  <c r="J285" i="2"/>
  <c r="J288" i="2"/>
  <c r="J294" i="2"/>
  <c r="J296" i="2"/>
  <c r="J297" i="2"/>
  <c r="J300" i="2"/>
  <c r="J302" i="2"/>
  <c r="J305" i="2"/>
  <c r="J326" i="2"/>
  <c r="J338" i="2"/>
  <c r="J345" i="2"/>
  <c r="J350" i="2"/>
  <c r="J351" i="2"/>
  <c r="J359" i="2"/>
  <c r="J361" i="2"/>
  <c r="J365" i="2"/>
  <c r="J367" i="2"/>
  <c r="J369" i="2"/>
  <c r="J378" i="2"/>
  <c r="J386" i="2"/>
  <c r="J388" i="2"/>
  <c r="J390" i="2"/>
  <c r="J391" i="2"/>
  <c r="J400" i="2"/>
  <c r="J401" i="2"/>
  <c r="J409" i="2"/>
  <c r="J411" i="2"/>
  <c r="J423" i="2"/>
  <c r="J431" i="2"/>
  <c r="J443" i="2"/>
  <c r="J445" i="2"/>
  <c r="J459" i="2"/>
  <c r="J477" i="2"/>
  <c r="J481" i="2"/>
  <c r="J488" i="2"/>
  <c r="J490" i="2"/>
  <c r="J22" i="2"/>
  <c r="J25" i="2"/>
  <c r="J31" i="2"/>
  <c r="J34" i="2"/>
  <c r="J37" i="2"/>
  <c r="J66" i="2"/>
  <c r="J71" i="2"/>
  <c r="J73" i="2"/>
  <c r="J77" i="2"/>
  <c r="J87" i="2"/>
  <c r="J89" i="2"/>
  <c r="J90" i="2"/>
  <c r="J139" i="2"/>
  <c r="J162" i="2"/>
  <c r="J179" i="2"/>
  <c r="J185" i="2"/>
  <c r="J188" i="2"/>
  <c r="J196" i="2"/>
  <c r="J202" i="2"/>
  <c r="J215" i="2"/>
  <c r="J221" i="2"/>
  <c r="J225" i="2"/>
  <c r="J234" i="2"/>
  <c r="J239" i="2"/>
  <c r="J256" i="2"/>
  <c r="J270" i="2"/>
  <c r="J282" i="2"/>
  <c r="J286" i="2"/>
  <c r="J292" i="2"/>
  <c r="J304" i="2"/>
  <c r="J308" i="2"/>
  <c r="J313" i="2"/>
  <c r="J314" i="2"/>
  <c r="J315" i="2"/>
  <c r="J328" i="2"/>
  <c r="J337" i="2"/>
  <c r="J347" i="2"/>
  <c r="J382" i="2"/>
  <c r="J404" i="2"/>
  <c r="J410" i="2"/>
  <c r="J416" i="2"/>
  <c r="J428" i="2"/>
  <c r="J437" i="2"/>
  <c r="J440" i="2"/>
  <c r="J448" i="2"/>
  <c r="J450" i="2"/>
  <c r="J452" i="2"/>
  <c r="J467" i="2"/>
  <c r="J468" i="2"/>
  <c r="J484" i="2"/>
  <c r="J2" i="2"/>
  <c r="J11" i="2"/>
  <c r="J12" i="2"/>
  <c r="J14" i="2"/>
  <c r="J24" i="2"/>
  <c r="J41" i="2"/>
  <c r="J48" i="2"/>
  <c r="J82" i="2"/>
  <c r="J92" i="2"/>
  <c r="J112" i="2"/>
  <c r="J127" i="2"/>
  <c r="J130" i="2"/>
  <c r="J144" i="2"/>
  <c r="J148" i="2"/>
  <c r="J177" i="2"/>
  <c r="J190" i="2"/>
  <c r="J210" i="2"/>
  <c r="J214" i="2"/>
  <c r="J231" i="2"/>
  <c r="J252" i="2"/>
  <c r="J265" i="2"/>
  <c r="J266" i="2"/>
  <c r="J268" i="2"/>
  <c r="J279" i="2"/>
  <c r="J295" i="2"/>
  <c r="J309" i="2"/>
  <c r="J317" i="2"/>
  <c r="J330" i="2"/>
  <c r="J340" i="2"/>
  <c r="J343" i="2"/>
  <c r="J344" i="2"/>
  <c r="J380" i="2"/>
  <c r="J393" i="2"/>
  <c r="J397" i="2"/>
  <c r="J402" i="2"/>
  <c r="J420" i="2"/>
  <c r="J422" i="2"/>
  <c r="J439" i="2"/>
  <c r="J476" i="2"/>
  <c r="J147" i="2"/>
  <c r="J149" i="2"/>
  <c r="J152" i="2"/>
  <c r="J163" i="2"/>
  <c r="J184" i="2"/>
  <c r="J200" i="2"/>
  <c r="J216" i="2"/>
  <c r="J220" i="2"/>
  <c r="J233" i="2"/>
  <c r="J238" i="2"/>
  <c r="J244" i="2"/>
  <c r="J245" i="2"/>
  <c r="J247" i="2"/>
  <c r="J254" i="2"/>
  <c r="J263" i="2"/>
  <c r="J316" i="2"/>
  <c r="J327" i="2"/>
  <c r="J356" i="2"/>
  <c r="J364" i="2"/>
  <c r="J371" i="2"/>
  <c r="J436" i="2"/>
  <c r="J478" i="2"/>
  <c r="J486" i="2"/>
  <c r="J16" i="2"/>
  <c r="J28" i="2"/>
  <c r="J33" i="2"/>
  <c r="J52" i="2"/>
  <c r="J67" i="2"/>
  <c r="J84" i="2"/>
  <c r="J108" i="2"/>
  <c r="J124" i="2"/>
  <c r="J126" i="2"/>
  <c r="J131" i="2"/>
  <c r="J178" i="2"/>
  <c r="J189" i="2"/>
  <c r="J204" i="2"/>
  <c r="J222" i="2"/>
  <c r="J250" i="2"/>
  <c r="J267" i="2"/>
  <c r="J272" i="2"/>
  <c r="J273" i="2"/>
  <c r="J290" i="2"/>
  <c r="J301" i="2"/>
  <c r="J306" i="2"/>
  <c r="J319" i="2"/>
  <c r="J346" i="2"/>
  <c r="J375" i="2"/>
  <c r="J474" i="2"/>
  <c r="J479" i="2"/>
  <c r="J489" i="2"/>
  <c r="J13" i="2"/>
  <c r="J19" i="2"/>
  <c r="J26" i="2"/>
  <c r="J30" i="2"/>
  <c r="J58" i="2"/>
  <c r="J105" i="2"/>
  <c r="J107" i="2"/>
  <c r="J114" i="2"/>
  <c r="J123" i="2"/>
  <c r="J136" i="2"/>
  <c r="J141" i="2"/>
  <c r="J145" i="2"/>
  <c r="J158" i="2"/>
  <c r="J176" i="2"/>
  <c r="J187" i="2"/>
  <c r="J192" i="2"/>
  <c r="J208" i="2"/>
  <c r="J212" i="2"/>
  <c r="J240" i="2"/>
  <c r="J277" i="2"/>
  <c r="J287" i="2"/>
  <c r="J291" i="2"/>
  <c r="J332" i="2"/>
  <c r="J354" i="2"/>
  <c r="J412" i="2"/>
  <c r="J415" i="2"/>
  <c r="J417" i="2"/>
  <c r="J424" i="2"/>
  <c r="J426" i="2"/>
  <c r="J430" i="2"/>
  <c r="J451" i="2"/>
  <c r="J4" i="2"/>
  <c r="J7" i="2"/>
  <c r="J9" i="2"/>
  <c r="J18" i="2"/>
  <c r="J46" i="2"/>
  <c r="J47" i="2"/>
  <c r="J54" i="2"/>
  <c r="J56" i="2"/>
  <c r="J63" i="2"/>
  <c r="J74" i="2"/>
  <c r="J103" i="2"/>
  <c r="J110" i="2"/>
  <c r="J111" i="2"/>
  <c r="J121" i="2"/>
  <c r="J125" i="2"/>
  <c r="J143" i="2"/>
  <c r="J146" i="2"/>
  <c r="J175" i="2"/>
  <c r="J209" i="2"/>
  <c r="J230" i="2"/>
  <c r="J232" i="2"/>
  <c r="J237" i="2"/>
  <c r="J248" i="2"/>
  <c r="J249" i="2"/>
  <c r="J269" i="2"/>
  <c r="J298" i="2"/>
  <c r="J303" i="2"/>
  <c r="J320" i="2"/>
  <c r="J325" i="2"/>
  <c r="J339" i="2"/>
  <c r="J348" i="2"/>
  <c r="J349" i="2"/>
  <c r="J368" i="2"/>
  <c r="J374" i="2"/>
  <c r="J383" i="2"/>
  <c r="J385" i="2"/>
  <c r="J403" i="2"/>
  <c r="J405" i="2"/>
  <c r="J419" i="2"/>
  <c r="J432" i="2"/>
  <c r="J434" i="2"/>
  <c r="J457" i="2"/>
  <c r="J475" i="2"/>
  <c r="J65" i="2"/>
  <c r="I3" i="2"/>
  <c r="I15" i="2"/>
  <c r="I23" i="2"/>
  <c r="I36" i="2"/>
  <c r="I40" i="2"/>
  <c r="I49" i="2"/>
  <c r="I50" i="2"/>
  <c r="I53" i="2"/>
  <c r="I55" i="2"/>
  <c r="I57" i="2"/>
  <c r="I61" i="2"/>
  <c r="I75" i="2"/>
  <c r="I86" i="2"/>
  <c r="I88" i="2"/>
  <c r="I99" i="2"/>
  <c r="I109" i="2"/>
  <c r="I120" i="2"/>
  <c r="I128" i="2"/>
  <c r="I134" i="2"/>
  <c r="I151" i="2"/>
  <c r="I161" i="2"/>
  <c r="I170" i="2"/>
  <c r="I173" i="2"/>
  <c r="I181" i="2"/>
  <c r="I186" i="2"/>
  <c r="I193" i="2"/>
  <c r="I194" i="2"/>
  <c r="I205" i="2"/>
  <c r="I206" i="2"/>
  <c r="I236" i="2"/>
  <c r="I246" i="2"/>
  <c r="I257" i="2"/>
  <c r="I258" i="2"/>
  <c r="I264" i="2"/>
  <c r="I274" i="2"/>
  <c r="I278" i="2"/>
  <c r="I280" i="2"/>
  <c r="I289" i="2"/>
  <c r="I311" i="2"/>
  <c r="I312" i="2"/>
  <c r="I318" i="2"/>
  <c r="I322" i="2"/>
  <c r="I333" i="2"/>
  <c r="I334" i="2"/>
  <c r="I335" i="2"/>
  <c r="I366" i="2"/>
  <c r="I384" i="2"/>
  <c r="I392" i="2"/>
  <c r="I394" i="2"/>
  <c r="I396" i="2"/>
  <c r="I399" i="2"/>
  <c r="I427" i="2"/>
  <c r="I446" i="2"/>
  <c r="I462" i="2"/>
  <c r="I470" i="2"/>
  <c r="I6" i="2"/>
  <c r="I10" i="2"/>
  <c r="I17" i="2"/>
  <c r="I21" i="2"/>
  <c r="I39" i="2"/>
  <c r="I45" i="2"/>
  <c r="I51" i="2"/>
  <c r="I59" i="2"/>
  <c r="I60" i="2"/>
  <c r="I62" i="2"/>
  <c r="I68" i="2"/>
  <c r="I95" i="2"/>
  <c r="I97" i="2"/>
  <c r="I104" i="2"/>
  <c r="I106" i="2"/>
  <c r="I118" i="2"/>
  <c r="I122" i="2"/>
  <c r="I137" i="2"/>
  <c r="I140" i="2"/>
  <c r="I155" i="2"/>
  <c r="I159" i="2"/>
  <c r="I164" i="2"/>
  <c r="I183" i="2"/>
  <c r="I218" i="2"/>
  <c r="I224" i="2"/>
  <c r="I226" i="2"/>
  <c r="I242" i="2"/>
  <c r="I243" i="2"/>
  <c r="I260" i="2"/>
  <c r="I271" i="2"/>
  <c r="I276" i="2"/>
  <c r="I281" i="2"/>
  <c r="I283" i="2"/>
  <c r="I293" i="2"/>
  <c r="I299" i="2"/>
  <c r="I307" i="2"/>
  <c r="I321" i="2"/>
  <c r="I323" i="2"/>
  <c r="I324" i="2"/>
  <c r="I331" i="2"/>
  <c r="I341" i="2"/>
  <c r="I342" i="2"/>
  <c r="I355" i="2"/>
  <c r="I360" i="2"/>
  <c r="I363" i="2"/>
  <c r="I372" i="2"/>
  <c r="I373" i="2"/>
  <c r="I377" i="2"/>
  <c r="I379" i="2"/>
  <c r="I387" i="2"/>
  <c r="I414" i="2"/>
  <c r="I418" i="2"/>
  <c r="I435" i="2"/>
  <c r="I441" i="2"/>
  <c r="I442" i="2"/>
  <c r="I444" i="2"/>
  <c r="I447" i="2"/>
  <c r="I454" i="2"/>
  <c r="I456" i="2"/>
  <c r="I458" i="2"/>
  <c r="I460" i="2"/>
  <c r="I461" i="2"/>
  <c r="I465" i="2"/>
  <c r="I466" i="2"/>
  <c r="I469" i="2"/>
  <c r="I472" i="2"/>
  <c r="I482" i="2"/>
  <c r="I487" i="2"/>
  <c r="I5" i="2"/>
  <c r="I8" i="2"/>
  <c r="I20" i="2"/>
  <c r="I29" i="2"/>
  <c r="I32" i="2"/>
  <c r="I35" i="2"/>
  <c r="I43" i="2"/>
  <c r="I64" i="2"/>
  <c r="I69" i="2"/>
  <c r="I70" i="2"/>
  <c r="I80" i="2"/>
  <c r="I81" i="2"/>
  <c r="I100" i="2"/>
  <c r="I101" i="2"/>
  <c r="I102" i="2"/>
  <c r="I113" i="2"/>
  <c r="I116" i="2"/>
  <c r="I119" i="2"/>
  <c r="I129" i="2"/>
  <c r="I133" i="2"/>
  <c r="I138" i="2"/>
  <c r="I150" i="2"/>
  <c r="I154" i="2"/>
  <c r="I157" i="2"/>
  <c r="I165" i="2"/>
  <c r="I166" i="2"/>
  <c r="I167" i="2"/>
  <c r="I169" i="2"/>
  <c r="I174" i="2"/>
  <c r="I197" i="2"/>
  <c r="I198" i="2"/>
  <c r="I199" i="2"/>
  <c r="I203" i="2"/>
  <c r="I207" i="2"/>
  <c r="I211" i="2"/>
  <c r="I213" i="2"/>
  <c r="I219" i="2"/>
  <c r="I228" i="2"/>
  <c r="I235" i="2"/>
  <c r="I251" i="2"/>
  <c r="I253" i="2"/>
  <c r="I255" i="2"/>
  <c r="I261" i="2"/>
  <c r="I262" i="2"/>
  <c r="I275" i="2"/>
  <c r="I284" i="2"/>
  <c r="I310" i="2"/>
  <c r="I329" i="2"/>
  <c r="I336" i="2"/>
  <c r="I352" i="2"/>
  <c r="I353" i="2"/>
  <c r="I357" i="2"/>
  <c r="I358" i="2"/>
  <c r="I362" i="2"/>
  <c r="I370" i="2"/>
  <c r="I376" i="2"/>
  <c r="I381" i="2"/>
  <c r="I389" i="2"/>
  <c r="I395" i="2"/>
  <c r="I398" i="2"/>
  <c r="I406" i="2"/>
  <c r="I407" i="2"/>
  <c r="I408" i="2"/>
  <c r="I413" i="2"/>
  <c r="I421" i="2"/>
  <c r="I425" i="2"/>
  <c r="I429" i="2"/>
  <c r="I433" i="2"/>
  <c r="I438" i="2"/>
  <c r="I449" i="2"/>
  <c r="I453" i="2"/>
  <c r="I455" i="2"/>
  <c r="I463" i="2"/>
  <c r="I464" i="2"/>
  <c r="I471" i="2"/>
  <c r="I473" i="2"/>
  <c r="I480" i="2"/>
  <c r="I483" i="2"/>
  <c r="I485" i="2"/>
  <c r="I27" i="2"/>
  <c r="I38" i="2"/>
  <c r="I42" i="2"/>
  <c r="I44" i="2"/>
  <c r="I72" i="2"/>
  <c r="I76" i="2"/>
  <c r="I78" i="2"/>
  <c r="I79" i="2"/>
  <c r="I83" i="2"/>
  <c r="I85" i="2"/>
  <c r="I91" i="2"/>
  <c r="I93" i="2"/>
  <c r="I94" i="2"/>
  <c r="I96" i="2"/>
  <c r="I98" i="2"/>
  <c r="I115" i="2"/>
  <c r="I117" i="2"/>
  <c r="I132" i="2"/>
  <c r="I135" i="2"/>
  <c r="I142" i="2"/>
  <c r="I153" i="2"/>
  <c r="I156" i="2"/>
  <c r="I160" i="2"/>
  <c r="I168" i="2"/>
  <c r="I171" i="2"/>
  <c r="I172" i="2"/>
  <c r="I180" i="2"/>
  <c r="I182" i="2"/>
  <c r="I191" i="2"/>
  <c r="I195" i="2"/>
  <c r="I201" i="2"/>
  <c r="I217" i="2"/>
  <c r="I223" i="2"/>
  <c r="I227" i="2"/>
  <c r="I229" i="2"/>
  <c r="I241" i="2"/>
  <c r="I259" i="2"/>
  <c r="I285" i="2"/>
  <c r="I288" i="2"/>
  <c r="I294" i="2"/>
  <c r="I296" i="2"/>
  <c r="I297" i="2"/>
  <c r="I300" i="2"/>
  <c r="I302" i="2"/>
  <c r="I305" i="2"/>
  <c r="I326" i="2"/>
  <c r="I338" i="2"/>
  <c r="I345" i="2"/>
  <c r="I350" i="2"/>
  <c r="I351" i="2"/>
  <c r="I359" i="2"/>
  <c r="I361" i="2"/>
  <c r="I365" i="2"/>
  <c r="I367" i="2"/>
  <c r="I369" i="2"/>
  <c r="I378" i="2"/>
  <c r="I386" i="2"/>
  <c r="I388" i="2"/>
  <c r="I390" i="2"/>
  <c r="I391" i="2"/>
  <c r="I400" i="2"/>
  <c r="I401" i="2"/>
  <c r="I409" i="2"/>
  <c r="I411" i="2"/>
  <c r="I423" i="2"/>
  <c r="I431" i="2"/>
  <c r="I443" i="2"/>
  <c r="I445" i="2"/>
  <c r="I459" i="2"/>
  <c r="I477" i="2"/>
  <c r="I481" i="2"/>
  <c r="I488" i="2"/>
  <c r="I490" i="2"/>
  <c r="I22" i="2"/>
  <c r="I25" i="2"/>
  <c r="I31" i="2"/>
  <c r="I34" i="2"/>
  <c r="I37" i="2"/>
  <c r="I66" i="2"/>
  <c r="I71" i="2"/>
  <c r="I73" i="2"/>
  <c r="I77" i="2"/>
  <c r="I87" i="2"/>
  <c r="I89" i="2"/>
  <c r="I90" i="2"/>
  <c r="I139" i="2"/>
  <c r="I162" i="2"/>
  <c r="I179" i="2"/>
  <c r="I185" i="2"/>
  <c r="I188" i="2"/>
  <c r="I196" i="2"/>
  <c r="I202" i="2"/>
  <c r="I215" i="2"/>
  <c r="I221" i="2"/>
  <c r="I225" i="2"/>
  <c r="I234" i="2"/>
  <c r="I239" i="2"/>
  <c r="I256" i="2"/>
  <c r="I270" i="2"/>
  <c r="I282" i="2"/>
  <c r="I286" i="2"/>
  <c r="I292" i="2"/>
  <c r="I304" i="2"/>
  <c r="I308" i="2"/>
  <c r="I313" i="2"/>
  <c r="I314" i="2"/>
  <c r="I315" i="2"/>
  <c r="I328" i="2"/>
  <c r="I337" i="2"/>
  <c r="I347" i="2"/>
  <c r="I382" i="2"/>
  <c r="I404" i="2"/>
  <c r="I410" i="2"/>
  <c r="I416" i="2"/>
  <c r="I428" i="2"/>
  <c r="I437" i="2"/>
  <c r="I440" i="2"/>
  <c r="I448" i="2"/>
  <c r="I450" i="2"/>
  <c r="I452" i="2"/>
  <c r="I467" i="2"/>
  <c r="I468" i="2"/>
  <c r="I484" i="2"/>
  <c r="I2" i="2"/>
  <c r="I11" i="2"/>
  <c r="I12" i="2"/>
  <c r="I14" i="2"/>
  <c r="I24" i="2"/>
  <c r="I41" i="2"/>
  <c r="I48" i="2"/>
  <c r="I82" i="2"/>
  <c r="I92" i="2"/>
  <c r="I112" i="2"/>
  <c r="I127" i="2"/>
  <c r="I130" i="2"/>
  <c r="I144" i="2"/>
  <c r="I148" i="2"/>
  <c r="I177" i="2"/>
  <c r="I190" i="2"/>
  <c r="I210" i="2"/>
  <c r="I214" i="2"/>
  <c r="I231" i="2"/>
  <c r="I252" i="2"/>
  <c r="I265" i="2"/>
  <c r="I266" i="2"/>
  <c r="I268" i="2"/>
  <c r="I279" i="2"/>
  <c r="I295" i="2"/>
  <c r="I309" i="2"/>
  <c r="I317" i="2"/>
  <c r="I330" i="2"/>
  <c r="I340" i="2"/>
  <c r="I343" i="2"/>
  <c r="I344" i="2"/>
  <c r="I380" i="2"/>
  <c r="I393" i="2"/>
  <c r="I397" i="2"/>
  <c r="I402" i="2"/>
  <c r="I420" i="2"/>
  <c r="I422" i="2"/>
  <c r="I439" i="2"/>
  <c r="I476" i="2"/>
  <c r="I147" i="2"/>
  <c r="I149" i="2"/>
  <c r="I152" i="2"/>
  <c r="I163" i="2"/>
  <c r="I184" i="2"/>
  <c r="I200" i="2"/>
  <c r="I216" i="2"/>
  <c r="I220" i="2"/>
  <c r="I233" i="2"/>
  <c r="I238" i="2"/>
  <c r="I244" i="2"/>
  <c r="I245" i="2"/>
  <c r="I247" i="2"/>
  <c r="I254" i="2"/>
  <c r="I263" i="2"/>
  <c r="I316" i="2"/>
  <c r="I327" i="2"/>
  <c r="I356" i="2"/>
  <c r="I364" i="2"/>
  <c r="I371" i="2"/>
  <c r="I436" i="2"/>
  <c r="I478" i="2"/>
  <c r="I486" i="2"/>
  <c r="I16" i="2"/>
  <c r="I28" i="2"/>
  <c r="I33" i="2"/>
  <c r="I52" i="2"/>
  <c r="I67" i="2"/>
  <c r="I84" i="2"/>
  <c r="I108" i="2"/>
  <c r="I124" i="2"/>
  <c r="I126" i="2"/>
  <c r="I131" i="2"/>
  <c r="I178" i="2"/>
  <c r="I189" i="2"/>
  <c r="I204" i="2"/>
  <c r="I222" i="2"/>
  <c r="I250" i="2"/>
  <c r="I267" i="2"/>
  <c r="I272" i="2"/>
  <c r="I273" i="2"/>
  <c r="I290" i="2"/>
  <c r="I301" i="2"/>
  <c r="I306" i="2"/>
  <c r="I319" i="2"/>
  <c r="I346" i="2"/>
  <c r="I375" i="2"/>
  <c r="I474" i="2"/>
  <c r="I479" i="2"/>
  <c r="I489" i="2"/>
  <c r="I13" i="2"/>
  <c r="I19" i="2"/>
  <c r="I26" i="2"/>
  <c r="I30" i="2"/>
  <c r="I58" i="2"/>
  <c r="I105" i="2"/>
  <c r="I107" i="2"/>
  <c r="I114" i="2"/>
  <c r="I123" i="2"/>
  <c r="I136" i="2"/>
  <c r="I141" i="2"/>
  <c r="I145" i="2"/>
  <c r="I158" i="2"/>
  <c r="I176" i="2"/>
  <c r="I187" i="2"/>
  <c r="I192" i="2"/>
  <c r="I208" i="2"/>
  <c r="I212" i="2"/>
  <c r="I240" i="2"/>
  <c r="I277" i="2"/>
  <c r="I287" i="2"/>
  <c r="I291" i="2"/>
  <c r="I332" i="2"/>
  <c r="I354" i="2"/>
  <c r="I412" i="2"/>
  <c r="I415" i="2"/>
  <c r="I417" i="2"/>
  <c r="I424" i="2"/>
  <c r="I426" i="2"/>
  <c r="I430" i="2"/>
  <c r="I451" i="2"/>
  <c r="I4" i="2"/>
  <c r="I7" i="2"/>
  <c r="I9" i="2"/>
  <c r="I18" i="2"/>
  <c r="I46" i="2"/>
  <c r="I47" i="2"/>
  <c r="I54" i="2"/>
  <c r="I56" i="2"/>
  <c r="I63" i="2"/>
  <c r="I74" i="2"/>
  <c r="I103" i="2"/>
  <c r="I110" i="2"/>
  <c r="I111" i="2"/>
  <c r="I121" i="2"/>
  <c r="I125" i="2"/>
  <c r="I143" i="2"/>
  <c r="I146" i="2"/>
  <c r="I175" i="2"/>
  <c r="I209" i="2"/>
  <c r="I230" i="2"/>
  <c r="I232" i="2"/>
  <c r="I237" i="2"/>
  <c r="I248" i="2"/>
  <c r="I249" i="2"/>
  <c r="I269" i="2"/>
  <c r="I298" i="2"/>
  <c r="I303" i="2"/>
  <c r="I320" i="2"/>
  <c r="I325" i="2"/>
  <c r="I339" i="2"/>
  <c r="I348" i="2"/>
  <c r="I349" i="2"/>
  <c r="I368" i="2"/>
  <c r="I374" i="2"/>
  <c r="I383" i="2"/>
  <c r="I385" i="2"/>
  <c r="I403" i="2"/>
  <c r="I405" i="2"/>
  <c r="I419" i="2"/>
  <c r="I432" i="2"/>
  <c r="I434" i="2"/>
  <c r="I457" i="2"/>
  <c r="I475" i="2"/>
  <c r="I65" i="2"/>
  <c r="H3" i="2"/>
  <c r="H15" i="2"/>
  <c r="H23" i="2"/>
  <c r="H36" i="2"/>
  <c r="H40" i="2"/>
  <c r="H49" i="2"/>
  <c r="H50" i="2"/>
  <c r="H53" i="2"/>
  <c r="H55" i="2"/>
  <c r="H57" i="2"/>
  <c r="H61" i="2"/>
  <c r="H75" i="2"/>
  <c r="H86" i="2"/>
  <c r="H88" i="2"/>
  <c r="H99" i="2"/>
  <c r="H109" i="2"/>
  <c r="H120" i="2"/>
  <c r="H128" i="2"/>
  <c r="H134" i="2"/>
  <c r="H151" i="2"/>
  <c r="H161" i="2"/>
  <c r="H170" i="2"/>
  <c r="H173" i="2"/>
  <c r="H181" i="2"/>
  <c r="H186" i="2"/>
  <c r="H193" i="2"/>
  <c r="H194" i="2"/>
  <c r="H205" i="2"/>
  <c r="H206" i="2"/>
  <c r="H236" i="2"/>
  <c r="H246" i="2"/>
  <c r="H257" i="2"/>
  <c r="H258" i="2"/>
  <c r="H264" i="2"/>
  <c r="H274" i="2"/>
  <c r="H278" i="2"/>
  <c r="H280" i="2"/>
  <c r="H289" i="2"/>
  <c r="H311" i="2"/>
  <c r="H312" i="2"/>
  <c r="H318" i="2"/>
  <c r="H322" i="2"/>
  <c r="H333" i="2"/>
  <c r="H334" i="2"/>
  <c r="H335" i="2"/>
  <c r="H366" i="2"/>
  <c r="H384" i="2"/>
  <c r="H392" i="2"/>
  <c r="H394" i="2"/>
  <c r="H396" i="2"/>
  <c r="H399" i="2"/>
  <c r="H427" i="2"/>
  <c r="H446" i="2"/>
  <c r="H462" i="2"/>
  <c r="H470" i="2"/>
  <c r="H6" i="2"/>
  <c r="H10" i="2"/>
  <c r="H17" i="2"/>
  <c r="H21" i="2"/>
  <c r="H39" i="2"/>
  <c r="H45" i="2"/>
  <c r="H51" i="2"/>
  <c r="H59" i="2"/>
  <c r="H60" i="2"/>
  <c r="H62" i="2"/>
  <c r="H68" i="2"/>
  <c r="H95" i="2"/>
  <c r="H97" i="2"/>
  <c r="H104" i="2"/>
  <c r="H106" i="2"/>
  <c r="H118" i="2"/>
  <c r="H122" i="2"/>
  <c r="H137" i="2"/>
  <c r="H140" i="2"/>
  <c r="H155" i="2"/>
  <c r="H159" i="2"/>
  <c r="H164" i="2"/>
  <c r="H183" i="2"/>
  <c r="H218" i="2"/>
  <c r="H224" i="2"/>
  <c r="H226" i="2"/>
  <c r="H242" i="2"/>
  <c r="H243" i="2"/>
  <c r="H260" i="2"/>
  <c r="H271" i="2"/>
  <c r="H276" i="2"/>
  <c r="H281" i="2"/>
  <c r="H283" i="2"/>
  <c r="H293" i="2"/>
  <c r="H299" i="2"/>
  <c r="H307" i="2"/>
  <c r="H321" i="2"/>
  <c r="H323" i="2"/>
  <c r="H324" i="2"/>
  <c r="H331" i="2"/>
  <c r="H341" i="2"/>
  <c r="H342" i="2"/>
  <c r="H355" i="2"/>
  <c r="H360" i="2"/>
  <c r="H363" i="2"/>
  <c r="H372" i="2"/>
  <c r="H373" i="2"/>
  <c r="H377" i="2"/>
  <c r="H379" i="2"/>
  <c r="H387" i="2"/>
  <c r="H414" i="2"/>
  <c r="H418" i="2"/>
  <c r="H435" i="2"/>
  <c r="H441" i="2"/>
  <c r="H442" i="2"/>
  <c r="H444" i="2"/>
  <c r="H447" i="2"/>
  <c r="H454" i="2"/>
  <c r="H456" i="2"/>
  <c r="H458" i="2"/>
  <c r="H460" i="2"/>
  <c r="H461" i="2"/>
  <c r="H465" i="2"/>
  <c r="H466" i="2"/>
  <c r="H469" i="2"/>
  <c r="H472" i="2"/>
  <c r="H482" i="2"/>
  <c r="H487" i="2"/>
  <c r="H5" i="2"/>
  <c r="H8" i="2"/>
  <c r="H20" i="2"/>
  <c r="H29" i="2"/>
  <c r="H32" i="2"/>
  <c r="H35" i="2"/>
  <c r="H43" i="2"/>
  <c r="H64" i="2"/>
  <c r="H69" i="2"/>
  <c r="H70" i="2"/>
  <c r="H80" i="2"/>
  <c r="H81" i="2"/>
  <c r="H100" i="2"/>
  <c r="H101" i="2"/>
  <c r="H102" i="2"/>
  <c r="H113" i="2"/>
  <c r="H116" i="2"/>
  <c r="H119" i="2"/>
  <c r="H129" i="2"/>
  <c r="H133" i="2"/>
  <c r="H138" i="2"/>
  <c r="H150" i="2"/>
  <c r="H154" i="2"/>
  <c r="H157" i="2"/>
  <c r="H165" i="2"/>
  <c r="H166" i="2"/>
  <c r="H167" i="2"/>
  <c r="H169" i="2"/>
  <c r="H174" i="2"/>
  <c r="H197" i="2"/>
  <c r="H198" i="2"/>
  <c r="H199" i="2"/>
  <c r="H203" i="2"/>
  <c r="H207" i="2"/>
  <c r="H211" i="2"/>
  <c r="H213" i="2"/>
  <c r="H219" i="2"/>
  <c r="H228" i="2"/>
  <c r="H235" i="2"/>
  <c r="H251" i="2"/>
  <c r="H253" i="2"/>
  <c r="H255" i="2"/>
  <c r="H261" i="2"/>
  <c r="H262" i="2"/>
  <c r="H275" i="2"/>
  <c r="H284" i="2"/>
  <c r="H310" i="2"/>
  <c r="H329" i="2"/>
  <c r="H336" i="2"/>
  <c r="H352" i="2"/>
  <c r="H353" i="2"/>
  <c r="H357" i="2"/>
  <c r="H358" i="2"/>
  <c r="H362" i="2"/>
  <c r="H370" i="2"/>
  <c r="H376" i="2"/>
  <c r="H381" i="2"/>
  <c r="H389" i="2"/>
  <c r="H395" i="2"/>
  <c r="H398" i="2"/>
  <c r="H406" i="2"/>
  <c r="H407" i="2"/>
  <c r="H408" i="2"/>
  <c r="H413" i="2"/>
  <c r="H421" i="2"/>
  <c r="H425" i="2"/>
  <c r="H429" i="2"/>
  <c r="H433" i="2"/>
  <c r="H438" i="2"/>
  <c r="H449" i="2"/>
  <c r="H453" i="2"/>
  <c r="H455" i="2"/>
  <c r="H463" i="2"/>
  <c r="H464" i="2"/>
  <c r="H471" i="2"/>
  <c r="H473" i="2"/>
  <c r="H480" i="2"/>
  <c r="H483" i="2"/>
  <c r="H485" i="2"/>
  <c r="H27" i="2"/>
  <c r="H38" i="2"/>
  <c r="H42" i="2"/>
  <c r="H44" i="2"/>
  <c r="H72" i="2"/>
  <c r="H76" i="2"/>
  <c r="H78" i="2"/>
  <c r="H79" i="2"/>
  <c r="H83" i="2"/>
  <c r="H85" i="2"/>
  <c r="H91" i="2"/>
  <c r="H93" i="2"/>
  <c r="H94" i="2"/>
  <c r="H96" i="2"/>
  <c r="H98" i="2"/>
  <c r="H115" i="2"/>
  <c r="H117" i="2"/>
  <c r="H132" i="2"/>
  <c r="H135" i="2"/>
  <c r="H142" i="2"/>
  <c r="H153" i="2"/>
  <c r="H156" i="2"/>
  <c r="H160" i="2"/>
  <c r="H168" i="2"/>
  <c r="H171" i="2"/>
  <c r="H172" i="2"/>
  <c r="H180" i="2"/>
  <c r="H182" i="2"/>
  <c r="H191" i="2"/>
  <c r="H195" i="2"/>
  <c r="H201" i="2"/>
  <c r="H217" i="2"/>
  <c r="H223" i="2"/>
  <c r="H227" i="2"/>
  <c r="H229" i="2"/>
  <c r="H241" i="2"/>
  <c r="H259" i="2"/>
  <c r="H285" i="2"/>
  <c r="H288" i="2"/>
  <c r="H294" i="2"/>
  <c r="H296" i="2"/>
  <c r="H297" i="2"/>
  <c r="H300" i="2"/>
  <c r="H302" i="2"/>
  <c r="H305" i="2"/>
  <c r="H326" i="2"/>
  <c r="H338" i="2"/>
  <c r="H345" i="2"/>
  <c r="H350" i="2"/>
  <c r="H351" i="2"/>
  <c r="H359" i="2"/>
  <c r="H361" i="2"/>
  <c r="H365" i="2"/>
  <c r="H367" i="2"/>
  <c r="H369" i="2"/>
  <c r="H378" i="2"/>
  <c r="H386" i="2"/>
  <c r="H388" i="2"/>
  <c r="H390" i="2"/>
  <c r="H391" i="2"/>
  <c r="H400" i="2"/>
  <c r="H401" i="2"/>
  <c r="H409" i="2"/>
  <c r="H411" i="2"/>
  <c r="H423" i="2"/>
  <c r="H431" i="2"/>
  <c r="H443" i="2"/>
  <c r="H445" i="2"/>
  <c r="H459" i="2"/>
  <c r="H477" i="2"/>
  <c r="H481" i="2"/>
  <c r="H488" i="2"/>
  <c r="H490" i="2"/>
  <c r="H22" i="2"/>
  <c r="H25" i="2"/>
  <c r="H31" i="2"/>
  <c r="H34" i="2"/>
  <c r="H37" i="2"/>
  <c r="H66" i="2"/>
  <c r="H71" i="2"/>
  <c r="H73" i="2"/>
  <c r="H77" i="2"/>
  <c r="H87" i="2"/>
  <c r="H89" i="2"/>
  <c r="H90" i="2"/>
  <c r="H139" i="2"/>
  <c r="H162" i="2"/>
  <c r="H179" i="2"/>
  <c r="H185" i="2"/>
  <c r="H188" i="2"/>
  <c r="H196" i="2"/>
  <c r="H202" i="2"/>
  <c r="H215" i="2"/>
  <c r="H221" i="2"/>
  <c r="H225" i="2"/>
  <c r="H234" i="2"/>
  <c r="H239" i="2"/>
  <c r="H256" i="2"/>
  <c r="H270" i="2"/>
  <c r="H282" i="2"/>
  <c r="H286" i="2"/>
  <c r="H292" i="2"/>
  <c r="H304" i="2"/>
  <c r="H308" i="2"/>
  <c r="H313" i="2"/>
  <c r="H314" i="2"/>
  <c r="H315" i="2"/>
  <c r="H328" i="2"/>
  <c r="H337" i="2"/>
  <c r="H347" i="2"/>
  <c r="H382" i="2"/>
  <c r="H404" i="2"/>
  <c r="H410" i="2"/>
  <c r="H416" i="2"/>
  <c r="H428" i="2"/>
  <c r="H437" i="2"/>
  <c r="H440" i="2"/>
  <c r="H448" i="2"/>
  <c r="H450" i="2"/>
  <c r="H452" i="2"/>
  <c r="H467" i="2"/>
  <c r="H468" i="2"/>
  <c r="H484" i="2"/>
  <c r="H2" i="2"/>
  <c r="H11" i="2"/>
  <c r="H12" i="2"/>
  <c r="H14" i="2"/>
  <c r="H24" i="2"/>
  <c r="H41" i="2"/>
  <c r="H48" i="2"/>
  <c r="H82" i="2"/>
  <c r="H92" i="2"/>
  <c r="H112" i="2"/>
  <c r="H127" i="2"/>
  <c r="H130" i="2"/>
  <c r="H144" i="2"/>
  <c r="H148" i="2"/>
  <c r="H177" i="2"/>
  <c r="H190" i="2"/>
  <c r="H210" i="2"/>
  <c r="H214" i="2"/>
  <c r="H231" i="2"/>
  <c r="H252" i="2"/>
  <c r="H265" i="2"/>
  <c r="H266" i="2"/>
  <c r="H268" i="2"/>
  <c r="H279" i="2"/>
  <c r="H295" i="2"/>
  <c r="H309" i="2"/>
  <c r="H317" i="2"/>
  <c r="H330" i="2"/>
  <c r="H340" i="2"/>
  <c r="H343" i="2"/>
  <c r="H344" i="2"/>
  <c r="H380" i="2"/>
  <c r="H393" i="2"/>
  <c r="H397" i="2"/>
  <c r="H402" i="2"/>
  <c r="H420" i="2"/>
  <c r="H422" i="2"/>
  <c r="H439" i="2"/>
  <c r="H476" i="2"/>
  <c r="H147" i="2"/>
  <c r="H149" i="2"/>
  <c r="H152" i="2"/>
  <c r="H163" i="2"/>
  <c r="H184" i="2"/>
  <c r="H200" i="2"/>
  <c r="H216" i="2"/>
  <c r="H220" i="2"/>
  <c r="H233" i="2"/>
  <c r="H238" i="2"/>
  <c r="H244" i="2"/>
  <c r="H245" i="2"/>
  <c r="H247" i="2"/>
  <c r="H254" i="2"/>
  <c r="H263" i="2"/>
  <c r="H316" i="2"/>
  <c r="H327" i="2"/>
  <c r="H356" i="2"/>
  <c r="H364" i="2"/>
  <c r="H371" i="2"/>
  <c r="H436" i="2"/>
  <c r="H478" i="2"/>
  <c r="H486" i="2"/>
  <c r="H16" i="2"/>
  <c r="H28" i="2"/>
  <c r="H33" i="2"/>
  <c r="H52" i="2"/>
  <c r="H67" i="2"/>
  <c r="H84" i="2"/>
  <c r="H108" i="2"/>
  <c r="H124" i="2"/>
  <c r="H126" i="2"/>
  <c r="H131" i="2"/>
  <c r="H178" i="2"/>
  <c r="H189" i="2"/>
  <c r="H204" i="2"/>
  <c r="H222" i="2"/>
  <c r="H250" i="2"/>
  <c r="H267" i="2"/>
  <c r="H272" i="2"/>
  <c r="H273" i="2"/>
  <c r="H290" i="2"/>
  <c r="H301" i="2"/>
  <c r="H306" i="2"/>
  <c r="H319" i="2"/>
  <c r="H346" i="2"/>
  <c r="H375" i="2"/>
  <c r="H474" i="2"/>
  <c r="H479" i="2"/>
  <c r="H489" i="2"/>
  <c r="H13" i="2"/>
  <c r="H19" i="2"/>
  <c r="H26" i="2"/>
  <c r="H30" i="2"/>
  <c r="H58" i="2"/>
  <c r="H105" i="2"/>
  <c r="H107" i="2"/>
  <c r="H114" i="2"/>
  <c r="H123" i="2"/>
  <c r="H136" i="2"/>
  <c r="H141" i="2"/>
  <c r="H145" i="2"/>
  <c r="H158" i="2"/>
  <c r="H176" i="2"/>
  <c r="H187" i="2"/>
  <c r="H192" i="2"/>
  <c r="H208" i="2"/>
  <c r="H212" i="2"/>
  <c r="H240" i="2"/>
  <c r="H277" i="2"/>
  <c r="H287" i="2"/>
  <c r="H291" i="2"/>
  <c r="H332" i="2"/>
  <c r="H354" i="2"/>
  <c r="H412" i="2"/>
  <c r="H415" i="2"/>
  <c r="H417" i="2"/>
  <c r="H424" i="2"/>
  <c r="H426" i="2"/>
  <c r="H430" i="2"/>
  <c r="H451" i="2"/>
  <c r="H4" i="2"/>
  <c r="H7" i="2"/>
  <c r="H9" i="2"/>
  <c r="H18" i="2"/>
  <c r="H46" i="2"/>
  <c r="H47" i="2"/>
  <c r="H54" i="2"/>
  <c r="H56" i="2"/>
  <c r="H63" i="2"/>
  <c r="H74" i="2"/>
  <c r="H103" i="2"/>
  <c r="H110" i="2"/>
  <c r="H111" i="2"/>
  <c r="H121" i="2"/>
  <c r="H125" i="2"/>
  <c r="H143" i="2"/>
  <c r="H146" i="2"/>
  <c r="H175" i="2"/>
  <c r="H209" i="2"/>
  <c r="H230" i="2"/>
  <c r="H232" i="2"/>
  <c r="H237" i="2"/>
  <c r="H248" i="2"/>
  <c r="H249" i="2"/>
  <c r="H269" i="2"/>
  <c r="H298" i="2"/>
  <c r="H303" i="2"/>
  <c r="H320" i="2"/>
  <c r="H325" i="2"/>
  <c r="H339" i="2"/>
  <c r="H348" i="2"/>
  <c r="H349" i="2"/>
  <c r="H368" i="2"/>
  <c r="H374" i="2"/>
  <c r="H383" i="2"/>
  <c r="H385" i="2"/>
  <c r="H403" i="2"/>
  <c r="H405" i="2"/>
  <c r="H419" i="2"/>
  <c r="H432" i="2"/>
  <c r="H434" i="2"/>
  <c r="H457" i="2"/>
  <c r="H475" i="2"/>
  <c r="H65" i="2"/>
  <c r="C14" i="8" l="1"/>
  <c r="C9" i="8"/>
  <c r="C10" i="8"/>
  <c r="C15" i="8"/>
  <c r="B6" i="8"/>
  <c r="B6" i="5"/>
  <c r="E1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865452-F93A-4D10-A229-4CB073F35C17}" keepAlive="1" name="Query - product_master" description="Connection to the 'product_master' query in the workbook." type="5" refreshedVersion="8" background="1" saveData="1">
    <dbPr connection="Provider=Microsoft.Mashup.OleDb.1;Data Source=$Workbook$;Location=product_master;Extended Properties=&quot;&quot;" command="SELECT * FROM [product_master]"/>
  </connection>
  <connection id="2" xr16:uid="{BC80D5DC-D459-442B-A4C5-C9E3D0C7D591}" keepAlive="1" name="Query - sales_data_messy_1" description="Connection to the 'sales_data_messy_1' query in the workbook." type="5" refreshedVersion="8" background="1" saveData="1">
    <dbPr connection="Provider=Microsoft.Mashup.OleDb.1;Data Source=$Workbook$;Location=sales_data_messy_1;Extended Properties=&quot;&quot;" command="SELECT * FROM [sales_data_messy_1]"/>
  </connection>
  <connection id="3" xr16:uid="{4D683EFD-BBC3-42C8-9E06-9234A33E4CEB}" keepAlive="1" name="Query - sales_data_messy_1 (2)" description="Connection to the 'sales_data_messy_1 (2)' query in the workbook." type="5" refreshedVersion="8" background="1" saveData="1">
    <dbPr connection="Provider=Microsoft.Mashup.OleDb.1;Data Source=$Workbook$;Location=&quot;sales_data_messy_1 (2)&quot;;Extended Properties=&quot;&quot;" command="SELECT * FROM [sales_data_messy_1 (2)]"/>
  </connection>
  <connection id="4" xr16:uid="{A9A7D8F8-D04C-4E0F-8355-DF326CEFBA1F}" keepAlive="1" name="Query - sales_data_messy_1 (3)" description="Connection to the 'sales_data_messy_1 (3)' query in the workbook." type="5" refreshedVersion="8" background="1" saveData="1">
    <dbPr connection="Provider=Microsoft.Mashup.OleDb.1;Data Source=$Workbook$;Location=&quot;sales_data_messy_1 (3)&quot;;Extended Properties=&quot;&quot;" command="SELECT * FROM [sales_data_messy_1 (3)]"/>
  </connection>
</connections>
</file>

<file path=xl/sharedStrings.xml><?xml version="1.0" encoding="utf-8"?>
<sst xmlns="http://schemas.openxmlformats.org/spreadsheetml/2006/main" count="2068" uniqueCount="576">
  <si>
    <t>Order ID</t>
  </si>
  <si>
    <t>Date</t>
  </si>
  <si>
    <t>Region</t>
  </si>
  <si>
    <t>Product ID</t>
  </si>
  <si>
    <t>Quantity</t>
  </si>
  <si>
    <t>Unit Price</t>
  </si>
  <si>
    <t>Salesperson</t>
  </si>
  <si>
    <t>ORD-2001</t>
  </si>
  <si>
    <t>East</t>
  </si>
  <si>
    <t>P107</t>
  </si>
  <si>
    <t>Riya Sen</t>
  </si>
  <si>
    <t>ORD-2002</t>
  </si>
  <si>
    <t>North</t>
  </si>
  <si>
    <t>P110</t>
  </si>
  <si>
    <t>Vikas Jadhav</t>
  </si>
  <si>
    <t>ORD-2003</t>
  </si>
  <si>
    <t>P101</t>
  </si>
  <si>
    <t>ORD-2004</t>
  </si>
  <si>
    <t>West</t>
  </si>
  <si>
    <t>P104</t>
  </si>
  <si>
    <t>Sneha Kulkarni</t>
  </si>
  <si>
    <t>ORD-2005</t>
  </si>
  <si>
    <t>P109</t>
  </si>
  <si>
    <t>Arnab Ghosh</t>
  </si>
  <si>
    <t>ORD-2006</t>
  </si>
  <si>
    <t>South</t>
  </si>
  <si>
    <t>Suresh Reddy</t>
  </si>
  <si>
    <t>ORD-2007</t>
  </si>
  <si>
    <t>Neha Verma</t>
  </si>
  <si>
    <t>ORD-2008</t>
  </si>
  <si>
    <t>Rohan Patil</t>
  </si>
  <si>
    <t>ORD-2009</t>
  </si>
  <si>
    <t>ORD-2010</t>
  </si>
  <si>
    <t>Pooja Desai</t>
  </si>
  <si>
    <t>ORD-2011</t>
  </si>
  <si>
    <t>ORD-2012</t>
  </si>
  <si>
    <t>P102</t>
  </si>
  <si>
    <t>ORD-2013</t>
  </si>
  <si>
    <t>ORD-2014</t>
  </si>
  <si>
    <t>Karthik Iyer</t>
  </si>
  <si>
    <t>ORD-2015</t>
  </si>
  <si>
    <t>P108</t>
  </si>
  <si>
    <t>ORD-2016</t>
  </si>
  <si>
    <t>Amit Sharma</t>
  </si>
  <si>
    <t>ORD-2017</t>
  </si>
  <si>
    <t>ORD-2018</t>
  </si>
  <si>
    <t>ORD-2019</t>
  </si>
  <si>
    <t>Divya Nair</t>
  </si>
  <si>
    <t>ORD-2020</t>
  </si>
  <si>
    <t>Subhash Das</t>
  </si>
  <si>
    <t>ORD-2021</t>
  </si>
  <si>
    <t>P106</t>
  </si>
  <si>
    <t>ORD-2022</t>
  </si>
  <si>
    <t>ORD-2023</t>
  </si>
  <si>
    <t>ORD-2024</t>
  </si>
  <si>
    <t>P111</t>
  </si>
  <si>
    <t>ORD-2025</t>
  </si>
  <si>
    <t>ORD-2026</t>
  </si>
  <si>
    <t>P105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</si>
  <si>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</si>
  <si>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</si>
  <si>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</si>
  <si>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</si>
  <si>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</si>
  <si>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</si>
  <si>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</si>
  <si>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</si>
  <si>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</si>
  <si>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</si>
  <si>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</si>
  <si>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</si>
  <si>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</si>
  <si>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</si>
  <si>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</si>
  <si>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</si>
  <si>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</si>
  <si>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</si>
  <si>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</si>
  <si>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</si>
  <si>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</si>
  <si>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</si>
  <si>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</si>
  <si>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</si>
  <si>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</si>
  <si>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</si>
  <si>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</si>
  <si>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</si>
  <si>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</si>
  <si>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</si>
  <si>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</si>
  <si>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</si>
  <si>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</si>
  <si>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</si>
  <si>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</si>
  <si>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</si>
  <si>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</si>
  <si>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</si>
  <si>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</si>
  <si>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</si>
  <si>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</si>
  <si>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</si>
  <si>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</si>
  <si>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</si>
  <si>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</si>
  <si>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</si>
  <si>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</si>
  <si>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</si>
  <si>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</si>
  <si>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</si>
  <si>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P999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</si>
  <si>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</si>
  <si>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</si>
  <si>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</si>
  <si>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</si>
  <si>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</si>
  <si>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</si>
  <si>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</si>
  <si>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</si>
  <si>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</si>
  <si>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</si>
  <si>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</si>
  <si>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</si>
  <si>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</si>
  <si>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</si>
  <si>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</si>
  <si>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</si>
  <si>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</si>
  <si>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</si>
  <si>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</si>
  <si>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</si>
  <si>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</si>
  <si>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</si>
  <si>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</si>
  <si>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</si>
  <si>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</si>
  <si>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</si>
  <si>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</si>
  <si>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</si>
  <si>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</si>
  <si>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</si>
  <si>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</si>
  <si>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</si>
  <si>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</si>
  <si>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</si>
  <si>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</si>
  <si>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</si>
  <si>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</si>
  <si>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</si>
  <si>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</si>
  <si>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</si>
  <si>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</si>
  <si>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</si>
  <si>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</si>
  <si>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</si>
  <si>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</si>
  <si>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</si>
  <si>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</si>
  <si>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</si>
  <si>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</si>
  <si>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</si>
  <si>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</si>
  <si>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</si>
  <si>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</si>
  <si>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</si>
  <si>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</si>
  <si>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</si>
  <si>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</si>
  <si>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</si>
  <si>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</si>
  <si>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</si>
  <si>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</si>
  <si>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</si>
  <si>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</si>
  <si>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</si>
  <si>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ORD-2143</t>
  </si>
  <si>
    <t>ORD-2144</t>
  </si>
  <si>
    <t>ORD-2145</t>
  </si>
  <si>
    <t>ORD-2146</t>
  </si>
  <si>
    <t>ORD-2147</t>
  </si>
  <si>
    <t>ORD-2148</t>
  </si>
  <si>
    <t>P103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</si>
  <si>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</si>
  <si>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</si>
  <si>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</si>
  <si>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</si>
  <si>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</si>
  <si>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</si>
  <si>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</si>
  <si>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</si>
  <si>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</si>
  <si>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</si>
  <si>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</si>
  <si>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</si>
  <si>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</si>
  <si>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</si>
  <si>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</si>
  <si>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</si>
  <si>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</si>
  <si>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</si>
  <si>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</si>
  <si>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</si>
  <si>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</si>
  <si>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</si>
  <si>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</si>
  <si>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</si>
  <si>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</si>
  <si>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</si>
  <si>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</si>
  <si>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</si>
  <si>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</si>
  <si>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</si>
  <si>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</si>
  <si>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</si>
  <si>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</si>
  <si>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</si>
  <si>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</si>
  <si>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</si>
  <si>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</si>
  <si>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</si>
  <si>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</si>
  <si>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</si>
  <si>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</si>
  <si>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</si>
  <si>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</si>
  <si>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</si>
  <si>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</si>
  <si>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</si>
  <si>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</si>
  <si>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</si>
  <si>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</si>
  <si>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</si>
  <si>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</si>
  <si>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</si>
  <si>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</si>
  <si>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</si>
  <si>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</si>
  <si>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</si>
  <si>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</si>
  <si>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</si>
  <si>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</si>
  <si>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</si>
  <si>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</si>
  <si>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</si>
  <si>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</si>
  <si>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</si>
  <si>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</si>
  <si>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</si>
  <si>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</si>
  <si>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</si>
  <si>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</si>
  <si>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</si>
  <si>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</si>
  <si>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</si>
  <si>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</si>
  <si>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</si>
  <si>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</si>
  <si>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</si>
  <si>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</si>
  <si>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</si>
  <si>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</si>
  <si>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</si>
  <si>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</si>
  <si>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</si>
  <si>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</si>
  <si>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</si>
  <si>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</si>
  <si>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</si>
  <si>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</si>
  <si>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</si>
  <si>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</si>
  <si>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</si>
  <si>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</si>
  <si>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</si>
  <si>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</si>
  <si>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</si>
  <si>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</si>
  <si>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</si>
  <si>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</si>
  <si>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</si>
  <si>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</si>
  <si>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</si>
  <si>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</si>
  <si>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</si>
  <si>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</si>
  <si>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</si>
  <si>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</si>
  <si>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</si>
  <si>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</si>
  <si>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</si>
  <si>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</si>
  <si>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</si>
  <si>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</si>
  <si>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</si>
  <si>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</si>
  <si>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</si>
  <si>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</si>
  <si>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</si>
  <si>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</si>
  <si>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</si>
  <si>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</si>
  <si>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</si>
  <si>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</si>
  <si>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</si>
  <si>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</si>
  <si>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</si>
  <si>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</si>
  <si>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</si>
  <si>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</si>
  <si>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</si>
  <si>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</si>
  <si>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</si>
  <si>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</si>
  <si>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</si>
  <si>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</si>
  <si>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</si>
  <si>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</si>
  <si>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</si>
  <si>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</si>
  <si>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</si>
  <si>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</si>
  <si>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</si>
  <si>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</si>
  <si>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</si>
  <si>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</si>
  <si>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</si>
  <si>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</si>
  <si>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</si>
  <si>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</si>
  <si>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</si>
  <si>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</si>
  <si>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</si>
  <si>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</si>
  <si>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</si>
  <si>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</si>
  <si>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</si>
  <si>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</si>
  <si>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</si>
  <si>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</si>
  <si>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</si>
  <si>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</si>
  <si>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</si>
  <si>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</si>
  <si>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</si>
  <si>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</si>
  <si>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</si>
  <si>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</si>
  <si>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</si>
  <si>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</si>
  <si>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</si>
  <si>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</si>
  <si>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</si>
  <si>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</si>
  <si>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</si>
  <si>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</si>
  <si>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</si>
  <si>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</si>
  <si>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</si>
  <si>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</si>
  <si>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</si>
  <si>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</si>
  <si>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</si>
  <si>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</si>
  <si>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</si>
  <si>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</si>
  <si>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</si>
  <si>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</si>
  <si>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</si>
  <si>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</si>
  <si>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</si>
  <si>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</si>
  <si>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</si>
  <si>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</si>
  <si>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</si>
  <si>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</si>
  <si>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</si>
  <si>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</si>
  <si>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</si>
  <si>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</si>
  <si>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</si>
  <si>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</si>
  <si>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</si>
  <si>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</si>
  <si>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</si>
  <si>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</si>
  <si>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</si>
  <si>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</si>
  <si>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</si>
  <si>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</si>
  <si>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</si>
  <si>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</si>
  <si>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</si>
  <si>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</si>
  <si>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</si>
  <si>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</si>
  <si>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</si>
  <si>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</si>
  <si>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</si>
  <si>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</si>
  <si>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</si>
  <si>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</si>
  <si>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</si>
  <si>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</si>
  <si>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</si>
  <si>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</si>
  <si>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</si>
  <si>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</si>
  <si>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</si>
  <si>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</si>
  <si>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</si>
  <si>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</si>
  <si>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</si>
  <si>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</si>
  <si>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</si>
  <si>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</si>
  <si>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</si>
  <si>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</si>
  <si>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</si>
  <si>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</si>
  <si>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</si>
  <si>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</si>
  <si>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</si>
  <si>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</si>
  <si>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</si>
  <si>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</si>
  <si>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</si>
  <si>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</si>
  <si>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</si>
  <si>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</si>
  <si>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</si>
  <si>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</si>
  <si>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</si>
  <si>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</si>
  <si>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</si>
  <si>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</si>
  <si>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</si>
  <si>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</si>
  <si>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</si>
  <si>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</si>
  <si>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</si>
  <si>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</si>
  <si>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</si>
  <si>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</si>
  <si>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</si>
  <si>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</si>
  <si>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</si>
  <si>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</si>
  <si>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</si>
  <si>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</si>
  <si>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</si>
  <si>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</si>
  <si>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</si>
  <si>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</si>
  <si>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</si>
  <si>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</si>
  <si>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</si>
  <si>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</si>
  <si>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</si>
  <si>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</si>
  <si>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</si>
  <si>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</si>
  <si>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</si>
  <si>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</si>
  <si>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</si>
  <si>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</si>
  <si>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</si>
  <si>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</si>
  <si>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</si>
  <si>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</si>
  <si>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</si>
  <si>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</si>
  <si>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</si>
  <si>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</si>
  <si>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</si>
  <si>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</si>
  <si>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</si>
  <si>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</si>
  <si>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</si>
  <si>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</si>
  <si>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</si>
  <si>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</si>
  <si>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</si>
  <si>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</si>
  <si>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</si>
  <si>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</si>
  <si>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</si>
  <si>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</si>
  <si>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</si>
  <si>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</si>
  <si>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</si>
  <si>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</si>
  <si>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</si>
  <si>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</si>
  <si>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</si>
  <si>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</si>
  <si>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</si>
  <si>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</si>
  <si>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</si>
  <si>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</si>
  <si>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</si>
  <si>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</si>
  <si>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</si>
  <si>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</si>
  <si>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</si>
  <si>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</si>
  <si>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</si>
  <si>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</si>
  <si>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</si>
  <si>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</si>
  <si>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</si>
  <si>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</si>
  <si>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</si>
  <si>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</si>
  <si>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</si>
  <si>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</si>
  <si>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</si>
  <si>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</si>
  <si>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</si>
  <si>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</si>
  <si>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</si>
  <si>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</si>
  <si>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</si>
  <si>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</si>
  <si>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</si>
  <si>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</si>
  <si>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Column1</t>
  </si>
  <si>
    <t>Column2</t>
  </si>
  <si>
    <t>Column3</t>
  </si>
  <si>
    <t>Product Name</t>
  </si>
  <si>
    <t>Category</t>
  </si>
  <si>
    <t>Laptop</t>
  </si>
  <si>
    <t>Electronics</t>
  </si>
  <si>
    <t>Monitor</t>
  </si>
  <si>
    <t>Printer</t>
  </si>
  <si>
    <t>Wireless Mouse</t>
  </si>
  <si>
    <t>Accessories</t>
  </si>
  <si>
    <t>Keyboard</t>
  </si>
  <si>
    <t>Headphones</t>
  </si>
  <si>
    <t>Office Chair</t>
  </si>
  <si>
    <t>Furniture</t>
  </si>
  <si>
    <t>Study Desk</t>
  </si>
  <si>
    <t>Notebook Pack</t>
  </si>
  <si>
    <t>Stationery</t>
  </si>
  <si>
    <t>Pen Box</t>
  </si>
  <si>
    <t>Unknown</t>
  </si>
  <si>
    <t>Total Sales</t>
  </si>
  <si>
    <t>Total</t>
  </si>
  <si>
    <t>Not Found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</si>
  <si>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</si>
  <si>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</si>
  <si>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</si>
  <si>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</si>
  <si>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</si>
  <si>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</si>
  <si>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</si>
  <si>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</si>
  <si>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</si>
  <si>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Column Labels</t>
  </si>
  <si>
    <t>Months</t>
  </si>
  <si>
    <t>Product</t>
  </si>
  <si>
    <t>Monthly Sales MIS Report (Jan to Jun 2026)</t>
  </si>
  <si>
    <t>Key Numbers</t>
  </si>
  <si>
    <t>Total Orders</t>
  </si>
  <si>
    <t>Average Order Value</t>
  </si>
  <si>
    <t>Insight Numbers</t>
  </si>
  <si>
    <t>Top Region</t>
  </si>
  <si>
    <t>Lowest Region</t>
  </si>
  <si>
    <t>Best Month</t>
  </si>
  <si>
    <t>Weakest Month</t>
  </si>
  <si>
    <t>Top Product</t>
  </si>
  <si>
    <t>Top 5 Products Share</t>
  </si>
  <si>
    <t>Unmapped Orders (Not Found)</t>
  </si>
  <si>
    <t>Key Insights</t>
  </si>
  <si>
    <t>1. West was the top region with ₹43.13 lakh (31% of total sales), while East was the lowest with ₹26.44 lakh (19%). The gap is about ₹16.7 lakh, so East needs more focus.</t>
  </si>
  <si>
    <t>2. April was the best month (₹26.57 lakh) and March was the weakest (₹15.35 lakh). March sales were about 42% lower than April, so the reason for the March dip should be checked.</t>
  </si>
  <si>
    <t>3. Laptop alone contributed 41% of total sales, and the top 5 products together contributed 73.5%. Depending on a few products is a risk, so other products should be promoted too.</t>
  </si>
  <si>
    <t>4. Six orders (₹1.83 lakh, 1.3% of sales) have Product IDs that are missing from the Product Master. The master list should be updated so that product-wise reporting is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</si>
</sst>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9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0" fillId="4" borderId="3" xfId="0" applyFill="1" applyBorder="1"/>
    <xf numFmtId="0" fontId="0" fillId="4" borderId="4" xfId="0" applyFill="1" applyBorder="1"/>
    <xf numFmtId="0" fontId="1" fillId="5" borderId="5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5" xfId="0" applyBorder="1"/>
    <xf numFmtId="0" fontId="0" fillId="0" borderId="6" xfId="0" applyBorder="1"/>
    <xf numFmtId="0" fontId="1" fillId="5" borderId="8" xfId="0" applyFont="1" applyFill="1" applyBorder="1"/>
    <xf numFmtId="0" fontId="2" fillId="0" borderId="7" xfId="0" applyFon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0" fontId="0" fillId="3" borderId="10" xfId="0" applyFill="1" applyBorder="1"/>
    <xf numFmtId="0" fontId="0" fillId="0" borderId="10" xfId="0" applyBorder="1"/>
    <xf numFmtId="0" fontId="1" fillId="2" borderId="0" xfId="0" applyFont="1" applyFill="1"/>
    <xf numFmtId="0" fontId="1" fillId="2" borderId="11" xfId="0" applyFont="1" applyFill="1" applyBorder="1"/>
    <xf numFmtId="0" fontId="2" fillId="3" borderId="10" xfId="0" applyFont="1" applyFill="1" applyBorder="1"/>
    <xf numFmtId="43" fontId="0" fillId="0" borderId="0" xfId="1" applyFont="1"/>
    <xf numFmtId="0" fontId="2" fillId="0" borderId="0" xfId="0" applyFont="1"/>
    <xf numFmtId="10" fontId="0" fillId="0" borderId="0" xfId="2" applyNumberFormat="1" applyFont="1"/>
    <xf numFmtId="0" fontId="0" fillId="0" borderId="0" xfId="0" applyAlignment="1">
      <alignment vertical="top" wrapText="1"/>
    </xf>
  </cellXfs>
  <cellStyles count="3">
    <cellStyle name="Comma" xfId="1" builtinId="3"/>
    <cellStyle name="Normal" xfId="0" builtinId="0"/>
    <cellStyle name="Percent" xfId="2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(Jan to Jun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0250084427934"/>
          <c:y val="0.19795749215558581"/>
          <c:w val="0.73656530173803891"/>
          <c:h val="0.64705109229767332"/>
        </c:manualLayout>
      </c:layout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9.0970807875084922E-2"/>
                  <c:y val="-8.26692716042074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89-48BE-84E9-5BA266F5DF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Charts!$B$2:$B$7</c:f>
              <c:numCache>
                <c:formatCode>#,##0</c:formatCode>
                <c:ptCount val="6"/>
                <c:pt idx="0">
                  <c:v>2573050</c:v>
                </c:pt>
                <c:pt idx="1">
                  <c:v>2202160</c:v>
                </c:pt>
                <c:pt idx="2">
                  <c:v>1534800</c:v>
                </c:pt>
                <c:pt idx="3">
                  <c:v>2657030</c:v>
                </c:pt>
                <c:pt idx="4">
                  <c:v>2617400</c:v>
                </c:pt>
                <c:pt idx="5">
                  <c:v>2349490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9-48BE-84E9-5BA266F5DF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2553968"/>
        <c:axId val="532564048"/>
      </c:lineChart>
      <c:catAx>
        <c:axId val="53255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64048"/>
        <c:crosses val="autoZero"/>
        <c:auto val="1"/>
        <c:lblAlgn val="ctr"/>
        <c:lblOffset val="100"/>
        <c:noMultiLvlLbl val="0"/>
      </c:catAx>
      <c:valAx>
        <c:axId val="53256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5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Region-wise Total Sales (Jan to Jun 2026)</a:t>
            </a:r>
            <a:endParaRPr lang="en-US" sz="1400" baseline="0"/>
          </a:p>
        </c:rich>
      </c:tx>
      <c:layout>
        <c:manualLayout>
          <c:xMode val="edge"/>
          <c:yMode val="edge"/>
          <c:x val="0.132951776550319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Charts!$A$18:$A$21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Charts!$B$18:$B$21</c:f>
              <c:numCache>
                <c:formatCode>_ * #,##0_ ;_ * \-#,##0_ ;_ * "-"??_ ;_ @_ </c:formatCode>
                <c:ptCount val="4"/>
                <c:pt idx="0">
                  <c:v>2644370</c:v>
                </c:pt>
                <c:pt idx="1">
                  <c:v>3198340</c:v>
                </c:pt>
                <c:pt idx="2">
                  <c:v>3778110</c:v>
                </c:pt>
                <c:pt idx="3">
                  <c:v>4313110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F-499A-8A5D-28CA1A4D97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7000080"/>
        <c:axId val="1657010160"/>
      </c:barChart>
      <c:catAx>
        <c:axId val="165700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layout>
            <c:manualLayout>
              <c:xMode val="edge"/>
              <c:yMode val="edge"/>
              <c:x val="0.50510301837270333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10160"/>
        <c:crosses val="autoZero"/>
        <c:auto val="1"/>
        <c:lblAlgn val="ctr"/>
        <c:lblOffset val="100"/>
        <c:noMultiLvlLbl val="0"/>
      </c:catAx>
      <c:valAx>
        <c:axId val="165701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 (₹)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019134587343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0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Top 5 Products by Sales (Jan to Jun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86046128291936"/>
          <c:y val="0.28825561312607945"/>
          <c:w val="0.74971280763817572"/>
          <c:h val="0.52692396611045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Charts!$B$31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Charts!$A$32:$A$36</c:f>
              <c:strCache>
                <c:ptCount val="5"/>
                <c:pt idx="0">
                  <c:v>Laptop</c:v>
                </c:pt>
                <c:pt idx="1">
                  <c:v>Headphones</c:v>
                </c:pt>
                <c:pt idx="2">
                  <c:v>Office Chair</c:v>
                </c:pt>
                <c:pt idx="3">
                  <c:v>Monitor</c:v>
                </c:pt>
                <c:pt idx="4">
                  <c:v>Keyboard</c:v>
                </c:pt>
              </c:strCache>
            </c:strRef>
          </c:cat>
          <c:val>
            <c:numRef>
              <c:f>Charts!$B$32:$B$36</c:f>
              <c:numCache>
                <c:formatCode>_ * #,##0_ ;_ * \-#,##0_ ;_ * "-"??_ ;_ @_ </c:formatCode>
                <c:ptCount val="5"/>
                <c:pt idx="0">
                  <c:v>5760000</c:v>
                </c:pt>
                <c:pt idx="1">
                  <c:v>1203400</c:v>
                </c:pt>
                <c:pt idx="2">
                  <c:v>1200000</c:v>
                </c:pt>
                <c:pt idx="3">
                  <c:v>1068000</c:v>
                </c:pt>
                <c:pt idx="4">
                  <c:v>1015200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F-4044-9B6A-55D9011FC3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24807024"/>
        <c:axId val="1381545024"/>
      </c:barChart>
      <c:catAx>
        <c:axId val="162480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45024"/>
        <c:crosses val="autoZero"/>
        <c:auto val="1"/>
        <c:lblAlgn val="ctr"/>
        <c:lblOffset val="100"/>
        <c:noMultiLvlLbl val="0"/>
      </c:catAx>
      <c:valAx>
        <c:axId val="138154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 (₹)</a:t>
                </a:r>
              </a:p>
            </c:rich>
          </c:tx>
          <c:layout>
            <c:manualLayout>
              <c:xMode val="edge"/>
              <c:yMode val="edge"/>
              <c:x val="2.2544283413848631E-2"/>
              <c:y val="0.351544657954025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0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0</xdr:row>
      <xdr:rowOff>60960</xdr:rowOff>
    </xdr:from>
    <xdr:to>
      <xdr:col>9</xdr:col>
      <xdr:colOff>7620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57B08-E7E9-5A4C-F6B5-5587BF830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217170</xdr:colOff>
      <xdr:row>15</xdr:row>
      <xdr:rowOff>148590</xdr:rowOff>
    </xdr:from>
    <xdr:to>
      <xdr:col>9</xdr:col>
      <xdr:colOff>7620</xdr:colOff>
      <xdr:row>28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C52FBF-5FB1-1381-2DA2-8E7CB5775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171450</xdr:colOff>
      <xdr:row>29</xdr:row>
      <xdr:rowOff>148590</xdr:rowOff>
    </xdr:from>
    <xdr:to>
      <xdr:col>9</xdr:col>
      <xdr:colOff>15240</xdr:colOff>
      <xdr:row>41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49066C-B01E-CB1F-A882-82DF4A075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NASHINE" refreshedDate="46320.867009027781" createdVersion="8" refreshedVersion="8" minRefreshableVersion="3" recordCount="489" xr:uid="{7E40C809-3BE3-49BC-8C92-B37D900BEA83}">
  <cacheSource type="worksheet">
    <worksheetSource name="sales_data_messy_1"/>
  </cacheSource>
  <cacheFields count="12">
    <cacheField name="Order ID" numFmtId="0">
      <sharedItems/>
    </cacheField>
    <cacheField name="Date" numFmtId="14">
      <sharedItems containsSemiMixedTypes="0" containsNonDate="0" containsDate="1" containsString="0" minDate="2026-01-01T00:00:00" maxDate="2026-07-01T00:00:00" count="169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2-01T00:00:00"/>
        <d v="2026-02-02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6T00:00:00"/>
        <d v="2026-03-08T00:00:00"/>
        <d v="2026-03-09T00:00:00"/>
        <d v="2026-03-10T00:00:00"/>
        <d v="2026-03-11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2T00:00:00"/>
        <d v="2026-05-23T00:00:00"/>
        <d v="2026-05-24T00:00:00"/>
        <d v="2026-05-25T00:00:00"/>
        <d v="2026-05-26T00:00:00"/>
        <d v="2026-05-28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11"/>
    </cacheField>
    <cacheField name="Region" numFmtId="0">
      <sharedItems count="4">
        <s v="East"/>
        <s v="North"/>
        <s v="West"/>
        <s v="South"/>
      </sharedItems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80"/>
    </cacheField>
    <cacheField name="Unit Price" numFmtId="0">
      <sharedItems containsSemiMixedTypes="0" containsString="0" containsNumber="1" containsInteger="1" minValue="180" maxValue="45000"/>
    </cacheField>
    <cacheField name="Salesperson" numFmtId="0">
      <sharedItems/>
    </cacheField>
    <cacheField name="Total Sales" numFmtId="0">
      <sharedItems containsSemiMixedTypes="0" containsString="0" containsNumber="1" containsInteger="1" minValue="1300" maxValue="225000"/>
    </cacheField>
    <cacheField name="Product Name" numFmtId="0">
      <sharedItems/>
    </cacheField>
    <cacheField name="Category" numFmtId="0">
      <sharedItems/>
    </cacheField>
    <cacheField name="Days (Date)" numFmtId="0" databaseField="0">
      <fieldGroup base="1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Date)" numFmtId="0" databaseField="0">
      <fieldGroup base="1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s v="ORD-2001"/>
    <x v="0"/>
    <x v="0"/>
    <s v="P107"/>
    <n v="5"/>
    <n v="7500"/>
    <s v="Riya Sen"/>
    <n v="37500"/>
    <s v="Office Chair"/>
    <s v="Furniture"/>
  </r>
  <r>
    <s v="ORD-2002"/>
    <x v="0"/>
    <x v="1"/>
    <s v="P110"/>
    <n v="17"/>
    <n v="180"/>
    <s v="Vikas Jadhav"/>
    <n v="3060"/>
    <s v="Pen Box"/>
    <s v="Stationery"/>
  </r>
  <r>
    <s v="ORD-2003"/>
    <x v="1"/>
    <x v="1"/>
    <s v="P101"/>
    <n v="4"/>
    <n v="45000"/>
    <s v="Vikas Jadhav"/>
    <n v="180000"/>
    <s v="Laptop"/>
    <s v="Electronics"/>
  </r>
  <r>
    <s v="ORD-2004"/>
    <x v="1"/>
    <x v="2"/>
    <s v="P104"/>
    <n v="17"/>
    <n v="650"/>
    <s v="Sneha Kulkarni"/>
    <n v="11050"/>
    <s v="Wireless Mouse"/>
    <s v="Accessories"/>
  </r>
  <r>
    <s v="ORD-2005"/>
    <x v="1"/>
    <x v="0"/>
    <s v="P109"/>
    <n v="76"/>
    <n v="320"/>
    <s v="Arnab Ghosh"/>
    <n v="24320"/>
    <s v="Notebook Pack"/>
    <s v="Stationery"/>
  </r>
  <r>
    <s v="ORD-2006"/>
    <x v="1"/>
    <x v="3"/>
    <s v="P101"/>
    <n v="3"/>
    <n v="45000"/>
    <s v="Suresh Reddy"/>
    <n v="135000"/>
    <s v="Laptop"/>
    <s v="Electronics"/>
  </r>
  <r>
    <s v="ORD-2007"/>
    <x v="2"/>
    <x v="1"/>
    <s v="P104"/>
    <n v="19"/>
    <n v="650"/>
    <s v="Neha Verma"/>
    <n v="12350"/>
    <s v="Wireless Mouse"/>
    <s v="Accessories"/>
  </r>
  <r>
    <s v="ORD-2008"/>
    <x v="2"/>
    <x v="2"/>
    <s v="P101"/>
    <n v="1"/>
    <n v="45000"/>
    <s v="Rohan Patil"/>
    <n v="45000"/>
    <s v="Laptop"/>
    <s v="Electronics"/>
  </r>
  <r>
    <s v="ORD-2009"/>
    <x v="2"/>
    <x v="1"/>
    <s v="P109"/>
    <n v="23"/>
    <n v="320"/>
    <s v="Vikas Jadhav"/>
    <n v="7360"/>
    <s v="Notebook Pack"/>
    <s v="Stationery"/>
  </r>
  <r>
    <s v="ORD-2010"/>
    <x v="2"/>
    <x v="2"/>
    <s v="P107"/>
    <n v="6"/>
    <n v="7500"/>
    <s v="Pooja Desai"/>
    <n v="45000"/>
    <s v="Office Chair"/>
    <s v="Furniture"/>
  </r>
  <r>
    <s v="ORD-2011"/>
    <x v="3"/>
    <x v="1"/>
    <s v="P107"/>
    <n v="6"/>
    <n v="7500"/>
    <s v="Vikas Jadhav"/>
    <n v="45000"/>
    <s v="Office Chair"/>
    <s v="Furniture"/>
  </r>
  <r>
    <s v="ORD-2012"/>
    <x v="3"/>
    <x v="2"/>
    <s v="P102"/>
    <n v="4"/>
    <n v="12000"/>
    <s v="Pooja Desai"/>
    <n v="48000"/>
    <s v="Monitor"/>
    <s v="Electronics"/>
  </r>
  <r>
    <s v="ORD-2013"/>
    <x v="3"/>
    <x v="2"/>
    <s v="P107"/>
    <n v="5"/>
    <n v="7500"/>
    <s v="Pooja Desai"/>
    <n v="37500"/>
    <s v="Office Chair"/>
    <s v="Furniture"/>
  </r>
  <r>
    <s v="ORD-2014"/>
    <x v="4"/>
    <x v="3"/>
    <s v="P110"/>
    <n v="74"/>
    <n v="180"/>
    <s v="Karthik Iyer"/>
    <n v="13320"/>
    <s v="Pen Box"/>
    <s v="Stationery"/>
  </r>
  <r>
    <s v="ORD-2015"/>
    <x v="4"/>
    <x v="3"/>
    <s v="P108"/>
    <n v="3"/>
    <n v="9800"/>
    <s v="Suresh Reddy"/>
    <n v="29400"/>
    <s v="Study Desk"/>
    <s v="Furniture"/>
  </r>
  <r>
    <s v="ORD-2016"/>
    <x v="5"/>
    <x v="1"/>
    <s v="P109"/>
    <n v="31"/>
    <n v="320"/>
    <s v="Amit Sharma"/>
    <n v="9920"/>
    <s v="Notebook Pack"/>
    <s v="Stationery"/>
  </r>
  <r>
    <s v="ORD-2017"/>
    <x v="5"/>
    <x v="0"/>
    <s v="P101"/>
    <n v="1"/>
    <n v="45000"/>
    <s v="Riya Sen"/>
    <n v="45000"/>
    <s v="Laptop"/>
    <s v="Electronics"/>
  </r>
  <r>
    <s v="ORD-2018"/>
    <x v="5"/>
    <x v="3"/>
    <s v="P102"/>
    <n v="1"/>
    <n v="12000"/>
    <s v="Unknown"/>
    <n v="12000"/>
    <s v="Monitor"/>
    <s v="Electronics"/>
  </r>
  <r>
    <s v="ORD-2019"/>
    <x v="5"/>
    <x v="3"/>
    <s v="P104"/>
    <n v="12"/>
    <n v="650"/>
    <s v="Divya Nair"/>
    <n v="7800"/>
    <s v="Wireless Mouse"/>
    <s v="Accessories"/>
  </r>
  <r>
    <s v="ORD-2020"/>
    <x v="6"/>
    <x v="0"/>
    <s v="P109"/>
    <n v="40"/>
    <n v="320"/>
    <s v="Subhash Das"/>
    <n v="12800"/>
    <s v="Notebook Pack"/>
    <s v="Stationery"/>
  </r>
  <r>
    <s v="ORD-2021"/>
    <x v="6"/>
    <x v="2"/>
    <s v="P106"/>
    <n v="15"/>
    <n v="2200"/>
    <s v="Pooja Desai"/>
    <n v="33000"/>
    <s v="Headphones"/>
    <s v="Accessories"/>
  </r>
  <r>
    <s v="ORD-2022"/>
    <x v="6"/>
    <x v="2"/>
    <s v="P110"/>
    <n v="74"/>
    <n v="180"/>
    <s v="Sneha Kulkarni"/>
    <n v="13320"/>
    <s v="Pen Box"/>
    <s v="Stationery"/>
  </r>
  <r>
    <s v="ORD-2023"/>
    <x v="6"/>
    <x v="3"/>
    <s v="P107"/>
    <n v="6"/>
    <n v="7500"/>
    <s v="Suresh Reddy"/>
    <n v="45000"/>
    <s v="Office Chair"/>
    <s v="Furniture"/>
  </r>
  <r>
    <s v="ORD-2024"/>
    <x v="7"/>
    <x v="3"/>
    <s v="P111"/>
    <n v="8"/>
    <n v="2200"/>
    <s v="Karthik Iyer"/>
    <n v="17600"/>
    <s v="Not Found"/>
    <s v="Not Found"/>
  </r>
  <r>
    <s v="ORD-2025"/>
    <x v="7"/>
    <x v="3"/>
    <s v="P102"/>
    <n v="3"/>
    <n v="12000"/>
    <s v="Karthik Iyer"/>
    <n v="36000"/>
    <s v="Monitor"/>
    <s v="Electronics"/>
  </r>
  <r>
    <s v="ORD-2026"/>
    <x v="8"/>
    <x v="3"/>
    <s v="P105"/>
    <n v="13"/>
    <n v="1200"/>
    <s v="Karthik Iyer"/>
    <n v="15600"/>
    <s v="Keyboard"/>
    <s v="Accessories"/>
  </r>
  <r>
    <s v="ORD-2028"/>
    <x v="9"/>
    <x v="3"/>
    <s v="P108"/>
    <n v="5"/>
    <n v="9800"/>
    <s v="Karthik Iyer"/>
    <n v="49000"/>
    <s v="Study Desk"/>
    <s v="Furniture"/>
  </r>
  <r>
    <s v="ORD-2029"/>
    <x v="9"/>
    <x v="0"/>
    <s v="P104"/>
    <n v="16"/>
    <n v="650"/>
    <s v="Subhash Das"/>
    <n v="10400"/>
    <s v="Wireless Mouse"/>
    <s v="Accessories"/>
  </r>
  <r>
    <s v="ORD-2030"/>
    <x v="9"/>
    <x v="2"/>
    <s v="P102"/>
    <n v="4"/>
    <n v="12000"/>
    <s v="Pooja Desai"/>
    <n v="48000"/>
    <s v="Monitor"/>
    <s v="Electronics"/>
  </r>
  <r>
    <s v="ORD-2031"/>
    <x v="9"/>
    <x v="2"/>
    <s v="P106"/>
    <n v="11"/>
    <n v="2200"/>
    <s v="Pooja Desai"/>
    <n v="24200"/>
    <s v="Headphones"/>
    <s v="Accessories"/>
  </r>
  <r>
    <s v="ORD-2032"/>
    <x v="10"/>
    <x v="1"/>
    <s v="P104"/>
    <n v="18"/>
    <n v="650"/>
    <s v="Amit Sharma"/>
    <n v="11700"/>
    <s v="Wireless Mouse"/>
    <s v="Accessories"/>
  </r>
  <r>
    <s v="ORD-2033"/>
    <x v="10"/>
    <x v="1"/>
    <s v="P108"/>
    <n v="3"/>
    <n v="9800"/>
    <s v="Amit Sharma"/>
    <n v="29400"/>
    <s v="Study Desk"/>
    <s v="Furniture"/>
  </r>
  <r>
    <s v="ORD-2034"/>
    <x v="10"/>
    <x v="0"/>
    <s v="P106"/>
    <n v="4"/>
    <n v="2200"/>
    <s v="Arnab Ghosh"/>
    <n v="8800"/>
    <s v="Headphones"/>
    <s v="Accessories"/>
  </r>
  <r>
    <s v="ORD-2035"/>
    <x v="11"/>
    <x v="2"/>
    <s v="P104"/>
    <n v="6"/>
    <n v="650"/>
    <s v="Pooja Desai"/>
    <n v="3900"/>
    <s v="Wireless Mouse"/>
    <s v="Accessories"/>
  </r>
  <r>
    <s v="ORD-2036"/>
    <x v="11"/>
    <x v="2"/>
    <s v="P110"/>
    <n v="80"/>
    <n v="180"/>
    <s v="Pooja Desai"/>
    <n v="14400"/>
    <s v="Pen Box"/>
    <s v="Stationery"/>
  </r>
  <r>
    <s v="ORD-2037"/>
    <x v="11"/>
    <x v="1"/>
    <s v="P106"/>
    <n v="12"/>
    <n v="2200"/>
    <s v="Neha Verma"/>
    <n v="26400"/>
    <s v="Headphones"/>
    <s v="Accessories"/>
  </r>
  <r>
    <s v="ORD-2038"/>
    <x v="12"/>
    <x v="1"/>
    <s v="P105"/>
    <n v="2"/>
    <n v="1200"/>
    <s v="Amit Sharma"/>
    <n v="2400"/>
    <s v="Keyboard"/>
    <s v="Accessories"/>
  </r>
  <r>
    <s v="ORD-2039"/>
    <x v="13"/>
    <x v="1"/>
    <s v="P109"/>
    <n v="29"/>
    <n v="320"/>
    <s v="Neha Verma"/>
    <n v="9280"/>
    <s v="Notebook Pack"/>
    <s v="Stationery"/>
  </r>
  <r>
    <s v="ORD-2040"/>
    <x v="14"/>
    <x v="2"/>
    <s v="P110"/>
    <n v="74"/>
    <n v="180"/>
    <s v="Pooja Desai"/>
    <n v="13320"/>
    <s v="Pen Box"/>
    <s v="Stationery"/>
  </r>
  <r>
    <s v="ORD-2041"/>
    <x v="14"/>
    <x v="1"/>
    <s v="P107"/>
    <n v="5"/>
    <n v="7500"/>
    <s v="Neha Verma"/>
    <n v="37500"/>
    <s v="Office Chair"/>
    <s v="Furniture"/>
  </r>
  <r>
    <s v="ORD-2042"/>
    <x v="14"/>
    <x v="3"/>
    <s v="P105"/>
    <n v="20"/>
    <n v="1200"/>
    <s v="Divya Nair"/>
    <n v="24000"/>
    <s v="Keyboard"/>
    <s v="Accessories"/>
  </r>
  <r>
    <s v="ORD-2043"/>
    <x v="14"/>
    <x v="1"/>
    <s v="P104"/>
    <n v="20"/>
    <n v="650"/>
    <s v="Vikas Jadhav"/>
    <n v="13000"/>
    <s v="Wireless Mouse"/>
    <s v="Accessories"/>
  </r>
  <r>
    <s v="ORD-2044"/>
    <x v="14"/>
    <x v="0"/>
    <s v="P105"/>
    <n v="17"/>
    <n v="1200"/>
    <s v="Riya Sen"/>
    <n v="20400"/>
    <s v="Keyboard"/>
    <s v="Accessories"/>
  </r>
  <r>
    <s v="ORD-2045"/>
    <x v="15"/>
    <x v="3"/>
    <s v="P109"/>
    <n v="59"/>
    <n v="320"/>
    <s v="Karthik Iyer"/>
    <n v="18880"/>
    <s v="Notebook Pack"/>
    <s v="Stationery"/>
  </r>
  <r>
    <s v="ORD-2046"/>
    <x v="15"/>
    <x v="1"/>
    <s v="P101"/>
    <n v="1"/>
    <n v="45000"/>
    <s v="Vikas Jadhav"/>
    <n v="45000"/>
    <s v="Laptop"/>
    <s v="Electronics"/>
  </r>
  <r>
    <s v="ORD-2047"/>
    <x v="15"/>
    <x v="2"/>
    <s v="P101"/>
    <n v="1"/>
    <n v="45000"/>
    <s v="Rohan Patil"/>
    <n v="45000"/>
    <s v="Laptop"/>
    <s v="Electronics"/>
  </r>
  <r>
    <s v="ORD-2048"/>
    <x v="15"/>
    <x v="2"/>
    <s v="P107"/>
    <n v="5"/>
    <n v="7500"/>
    <s v="Sneha Kulkarni"/>
    <n v="37500"/>
    <s v="Office Chair"/>
    <s v="Furniture"/>
  </r>
  <r>
    <s v="ORD-2049"/>
    <x v="15"/>
    <x v="2"/>
    <s v="P110"/>
    <n v="66"/>
    <n v="180"/>
    <s v="Unknown"/>
    <n v="11880"/>
    <s v="Pen Box"/>
    <s v="Stationery"/>
  </r>
  <r>
    <s v="ORD-2050"/>
    <x v="16"/>
    <x v="3"/>
    <s v="P110"/>
    <n v="21"/>
    <n v="180"/>
    <s v="Karthik Iyer"/>
    <n v="3780"/>
    <s v="Pen Box"/>
    <s v="Stationery"/>
  </r>
  <r>
    <s v="ORD-2051"/>
    <x v="16"/>
    <x v="3"/>
    <s v="P109"/>
    <n v="51"/>
    <n v="320"/>
    <s v="Divya Nair"/>
    <n v="16320"/>
    <s v="Notebook Pack"/>
    <s v="Stationery"/>
  </r>
  <r>
    <s v="ORD-2052"/>
    <x v="17"/>
    <x v="2"/>
    <s v="P108"/>
    <n v="1"/>
    <n v="9800"/>
    <s v="Sneha Kulkarni"/>
    <n v="9800"/>
    <s v="Study Desk"/>
    <s v="Furniture"/>
  </r>
  <r>
    <s v="ORD-2053"/>
    <x v="18"/>
    <x v="1"/>
    <s v="P110"/>
    <n v="26"/>
    <n v="180"/>
    <s v="Neha Verma"/>
    <n v="4680"/>
    <s v="Pen Box"/>
    <s v="Stationery"/>
  </r>
  <r>
    <s v="ORD-2054"/>
    <x v="18"/>
    <x v="2"/>
    <s v="P101"/>
    <n v="5"/>
    <n v="45000"/>
    <s v="Sneha Kulkarni"/>
    <n v="225000"/>
    <s v="Laptop"/>
    <s v="Electronics"/>
  </r>
  <r>
    <s v="ORD-2055"/>
    <x v="18"/>
    <x v="0"/>
    <s v="P110"/>
    <n v="52"/>
    <n v="180"/>
    <s v="Riya Sen"/>
    <n v="9360"/>
    <s v="Pen Box"/>
    <s v="Stationery"/>
  </r>
  <r>
    <s v="ORD-2056"/>
    <x v="19"/>
    <x v="3"/>
    <s v="P101"/>
    <n v="5"/>
    <n v="45000"/>
    <s v="Divya Nair"/>
    <n v="225000"/>
    <s v="Laptop"/>
    <s v="Electronics"/>
  </r>
  <r>
    <s v="ORD-2057"/>
    <x v="19"/>
    <x v="0"/>
    <s v="P110"/>
    <n v="28"/>
    <n v="180"/>
    <s v="Riya Sen"/>
    <n v="5040"/>
    <s v="Pen Box"/>
    <s v="Stationery"/>
  </r>
  <r>
    <s v="ORD-2058"/>
    <x v="20"/>
    <x v="3"/>
    <s v="P102"/>
    <n v="5"/>
    <n v="12000"/>
    <s v="Divya Nair"/>
    <n v="60000"/>
    <s v="Monitor"/>
    <s v="Electronics"/>
  </r>
  <r>
    <s v="ORD-2059"/>
    <x v="20"/>
    <x v="1"/>
    <s v="P109"/>
    <n v="11"/>
    <n v="320"/>
    <s v="Amit Sharma"/>
    <n v="3520"/>
    <s v="Notebook Pack"/>
    <s v="Stationery"/>
  </r>
  <r>
    <s v="ORD-2060"/>
    <x v="21"/>
    <x v="2"/>
    <s v="P109"/>
    <n v="77"/>
    <n v="320"/>
    <s v="Pooja Desai"/>
    <n v="24640"/>
    <s v="Notebook Pack"/>
    <s v="Stationery"/>
  </r>
  <r>
    <s v="ORD-2061"/>
    <x v="21"/>
    <x v="2"/>
    <s v="P110"/>
    <n v="35"/>
    <n v="180"/>
    <s v="Pooja Desai"/>
    <n v="6300"/>
    <s v="Pen Box"/>
    <s v="Stationery"/>
  </r>
  <r>
    <s v="ORD-2062"/>
    <x v="22"/>
    <x v="2"/>
    <s v="P109"/>
    <n v="77"/>
    <n v="320"/>
    <s v="Rohan Patil"/>
    <n v="24640"/>
    <s v="Notebook Pack"/>
    <s v="Stationery"/>
  </r>
  <r>
    <s v="ORD-2063"/>
    <x v="22"/>
    <x v="0"/>
    <s v="P101"/>
    <n v="4"/>
    <n v="45000"/>
    <s v="Subhash Das"/>
    <n v="180000"/>
    <s v="Laptop"/>
    <s v="Electronics"/>
  </r>
  <r>
    <s v="ORD-2064"/>
    <x v="22"/>
    <x v="1"/>
    <s v="P104"/>
    <n v="15"/>
    <n v="650"/>
    <s v="Amit Sharma"/>
    <n v="9750"/>
    <s v="Wireless Mouse"/>
    <s v="Accessories"/>
  </r>
  <r>
    <s v="ORD-2065"/>
    <x v="22"/>
    <x v="3"/>
    <s v="P104"/>
    <n v="10"/>
    <n v="650"/>
    <s v="Divya Nair"/>
    <n v="6500"/>
    <s v="Wireless Mouse"/>
    <s v="Accessories"/>
  </r>
  <r>
    <s v="ORD-2066"/>
    <x v="23"/>
    <x v="1"/>
    <s v="P106"/>
    <n v="17"/>
    <n v="2200"/>
    <s v="Amit Sharma"/>
    <n v="37400"/>
    <s v="Headphones"/>
    <s v="Accessories"/>
  </r>
  <r>
    <s v="ORD-2067"/>
    <x v="23"/>
    <x v="3"/>
    <s v="P108"/>
    <n v="5"/>
    <n v="9800"/>
    <s v="Suresh Reddy"/>
    <n v="49000"/>
    <s v="Study Desk"/>
    <s v="Furniture"/>
  </r>
  <r>
    <s v="ORD-2068"/>
    <x v="24"/>
    <x v="1"/>
    <s v="P109"/>
    <n v="73"/>
    <n v="320"/>
    <s v="Amit Sharma"/>
    <n v="23360"/>
    <s v="Notebook Pack"/>
    <s v="Stationery"/>
  </r>
  <r>
    <s v="ORD-2069"/>
    <x v="25"/>
    <x v="0"/>
    <s v="P104"/>
    <n v="4"/>
    <n v="650"/>
    <s v="Subhash Das"/>
    <n v="2600"/>
    <s v="Wireless Mouse"/>
    <s v="Accessories"/>
  </r>
  <r>
    <s v="ORD-2070"/>
    <x v="25"/>
    <x v="1"/>
    <s v="P104"/>
    <n v="18"/>
    <n v="650"/>
    <s v="Neha Verma"/>
    <n v="11700"/>
    <s v="Wireless Mouse"/>
    <s v="Accessories"/>
  </r>
  <r>
    <s v="ORD-2071"/>
    <x v="25"/>
    <x v="2"/>
    <s v="P106"/>
    <n v="10"/>
    <n v="2200"/>
    <s v="Pooja Desai"/>
    <n v="22000"/>
    <s v="Headphones"/>
    <s v="Accessories"/>
  </r>
  <r>
    <s v="ORD-2072"/>
    <x v="26"/>
    <x v="2"/>
    <s v="P105"/>
    <n v="5"/>
    <n v="1200"/>
    <s v="Sneha Kulkarni"/>
    <n v="6000"/>
    <s v="Keyboard"/>
    <s v="Accessories"/>
  </r>
  <r>
    <s v="ORD-2073"/>
    <x v="27"/>
    <x v="1"/>
    <s v="P106"/>
    <n v="19"/>
    <n v="2200"/>
    <s v="Amit Sharma"/>
    <n v="41800"/>
    <s v="Headphones"/>
    <s v="Accessories"/>
  </r>
  <r>
    <s v="ORD-2074"/>
    <x v="27"/>
    <x v="2"/>
    <s v="P101"/>
    <n v="3"/>
    <n v="45000"/>
    <s v="Pooja Desai"/>
    <n v="135000"/>
    <s v="Laptop"/>
    <s v="Electronics"/>
  </r>
  <r>
    <s v="ORD-2075"/>
    <x v="27"/>
    <x v="0"/>
    <s v="P110"/>
    <n v="20"/>
    <n v="180"/>
    <s v="Riya Sen"/>
    <n v="3600"/>
    <s v="Pen Box"/>
    <s v="Stationery"/>
  </r>
  <r>
    <s v="ORD-2076"/>
    <x v="28"/>
    <x v="2"/>
    <s v="P105"/>
    <n v="8"/>
    <n v="1200"/>
    <s v="Rohan Patil"/>
    <n v="9600"/>
    <s v="Keyboard"/>
    <s v="Accessories"/>
  </r>
  <r>
    <s v="ORD-2077"/>
    <x v="28"/>
    <x v="0"/>
    <s v="P999"/>
    <n v="9"/>
    <n v="2200"/>
    <s v="Riya Sen"/>
    <n v="19800"/>
    <s v="Not Found"/>
    <s v="Not Found"/>
  </r>
  <r>
    <s v="ORD-2078"/>
    <x v="28"/>
    <x v="3"/>
    <s v="P105"/>
    <n v="3"/>
    <n v="1200"/>
    <s v="Karthik Iyer"/>
    <n v="3600"/>
    <s v="Keyboard"/>
    <s v="Accessories"/>
  </r>
  <r>
    <s v="ORD-2079"/>
    <x v="29"/>
    <x v="0"/>
    <s v="P105"/>
    <n v="19"/>
    <n v="1200"/>
    <s v="Arnab Ghosh"/>
    <n v="22800"/>
    <s v="Keyboard"/>
    <s v="Accessories"/>
  </r>
  <r>
    <s v="ORD-2080"/>
    <x v="29"/>
    <x v="1"/>
    <s v="P104"/>
    <n v="2"/>
    <n v="650"/>
    <s v="Vikas Jadhav"/>
    <n v="1300"/>
    <s v="Wireless Mouse"/>
    <s v="Accessories"/>
  </r>
  <r>
    <s v="ORD-2081"/>
    <x v="29"/>
    <x v="1"/>
    <s v="P104"/>
    <n v="7"/>
    <n v="650"/>
    <s v="Amit Sharma"/>
    <n v="4550"/>
    <s v="Wireless Mouse"/>
    <s v="Accessories"/>
  </r>
  <r>
    <s v="ORD-2082"/>
    <x v="29"/>
    <x v="2"/>
    <s v="P107"/>
    <n v="2"/>
    <n v="7500"/>
    <s v="Pooja Desai"/>
    <n v="15000"/>
    <s v="Office Chair"/>
    <s v="Furniture"/>
  </r>
  <r>
    <s v="ORD-2083"/>
    <x v="29"/>
    <x v="2"/>
    <s v="P105"/>
    <n v="15"/>
    <n v="1200"/>
    <s v="Sneha Kulkarni"/>
    <n v="18000"/>
    <s v="Keyboard"/>
    <s v="Accessories"/>
  </r>
  <r>
    <s v="ORD-2084"/>
    <x v="30"/>
    <x v="3"/>
    <s v="P108"/>
    <n v="5"/>
    <n v="9800"/>
    <s v="Divya Nair"/>
    <n v="49000"/>
    <s v="Study Desk"/>
    <s v="Furniture"/>
  </r>
  <r>
    <s v="ORD-2085"/>
    <x v="30"/>
    <x v="3"/>
    <s v="P105"/>
    <n v="7"/>
    <n v="1200"/>
    <s v="Suresh Reddy"/>
    <n v="8400"/>
    <s v="Keyboard"/>
    <s v="Accessories"/>
  </r>
  <r>
    <s v="ORD-2086"/>
    <x v="30"/>
    <x v="0"/>
    <s v="P110"/>
    <n v="57"/>
    <n v="180"/>
    <s v="Arnab Ghosh"/>
    <n v="10260"/>
    <s v="Pen Box"/>
    <s v="Stationery"/>
  </r>
  <r>
    <s v="ORD-2087"/>
    <x v="30"/>
    <x v="2"/>
    <s v="P106"/>
    <n v="6"/>
    <n v="2200"/>
    <s v="Sneha Kulkarni"/>
    <n v="13200"/>
    <s v="Headphones"/>
    <s v="Accessories"/>
  </r>
  <r>
    <s v="ORD-2088"/>
    <x v="30"/>
    <x v="2"/>
    <s v="P110"/>
    <n v="14"/>
    <n v="180"/>
    <s v="Sneha Kulkarni"/>
    <n v="2520"/>
    <s v="Pen Box"/>
    <s v="Stationery"/>
  </r>
  <r>
    <s v="ORD-2089"/>
    <x v="31"/>
    <x v="2"/>
    <s v="P106"/>
    <n v="8"/>
    <n v="2200"/>
    <s v="Sneha Kulkarni"/>
    <n v="17600"/>
    <s v="Headphones"/>
    <s v="Accessories"/>
  </r>
  <r>
    <s v="ORD-2090"/>
    <x v="31"/>
    <x v="3"/>
    <s v="P106"/>
    <n v="14"/>
    <n v="2200"/>
    <s v="Karthik Iyer"/>
    <n v="30800"/>
    <s v="Headphones"/>
    <s v="Accessories"/>
  </r>
  <r>
    <s v="ORD-2091"/>
    <x v="32"/>
    <x v="0"/>
    <s v="P105"/>
    <n v="5"/>
    <n v="1200"/>
    <s v="Unknown"/>
    <n v="6000"/>
    <s v="Keyboard"/>
    <s v="Accessories"/>
  </r>
  <r>
    <s v="ORD-2092"/>
    <x v="32"/>
    <x v="3"/>
    <s v="P107"/>
    <n v="3"/>
    <n v="7500"/>
    <s v="Divya Nair"/>
    <n v="22500"/>
    <s v="Office Chair"/>
    <s v="Furniture"/>
  </r>
  <r>
    <s v="ORD-2093"/>
    <x v="32"/>
    <x v="1"/>
    <s v="P105"/>
    <n v="15"/>
    <n v="1200"/>
    <s v="Amit Sharma"/>
    <n v="18000"/>
    <s v="Keyboard"/>
    <s v="Accessories"/>
  </r>
  <r>
    <s v="ORD-2094"/>
    <x v="32"/>
    <x v="2"/>
    <s v="P105"/>
    <n v="3"/>
    <n v="1200"/>
    <s v="Sneha Kulkarni"/>
    <n v="3600"/>
    <s v="Keyboard"/>
    <s v="Accessories"/>
  </r>
  <r>
    <s v="ORD-2095"/>
    <x v="33"/>
    <x v="2"/>
    <s v="P109"/>
    <n v="60"/>
    <n v="320"/>
    <s v="Rohan Patil"/>
    <n v="19200"/>
    <s v="Notebook Pack"/>
    <s v="Stationery"/>
  </r>
  <r>
    <s v="ORD-2096"/>
    <x v="33"/>
    <x v="2"/>
    <s v="P105"/>
    <n v="15"/>
    <n v="1200"/>
    <s v="Pooja Desai"/>
    <n v="18000"/>
    <s v="Keyboard"/>
    <s v="Accessories"/>
  </r>
  <r>
    <s v="ORD-2097"/>
    <x v="34"/>
    <x v="2"/>
    <s v="P109"/>
    <n v="72"/>
    <n v="320"/>
    <s v="Sneha Kulkarni"/>
    <n v="23040"/>
    <s v="Notebook Pack"/>
    <s v="Stationery"/>
  </r>
  <r>
    <s v="ORD-2098"/>
    <x v="35"/>
    <x v="2"/>
    <s v="P105"/>
    <n v="14"/>
    <n v="1200"/>
    <s v="Sneha Kulkarni"/>
    <n v="16800"/>
    <s v="Keyboard"/>
    <s v="Accessories"/>
  </r>
  <r>
    <s v="ORD-2099"/>
    <x v="35"/>
    <x v="2"/>
    <s v="P110"/>
    <n v="69"/>
    <n v="180"/>
    <s v="Sneha Kulkarni"/>
    <n v="12420"/>
    <s v="Pen Box"/>
    <s v="Stationery"/>
  </r>
  <r>
    <s v="ORD-2100"/>
    <x v="35"/>
    <x v="2"/>
    <s v="P104"/>
    <n v="2"/>
    <n v="650"/>
    <s v="Rohan Patil"/>
    <n v="1300"/>
    <s v="Wireless Mouse"/>
    <s v="Accessories"/>
  </r>
  <r>
    <s v="ORD-2101"/>
    <x v="36"/>
    <x v="3"/>
    <s v="P104"/>
    <n v="10"/>
    <n v="650"/>
    <s v="Divya Nair"/>
    <n v="6500"/>
    <s v="Wireless Mouse"/>
    <s v="Accessories"/>
  </r>
  <r>
    <s v="ORD-2102"/>
    <x v="36"/>
    <x v="1"/>
    <s v="P104"/>
    <n v="11"/>
    <n v="650"/>
    <s v="Amit Sharma"/>
    <n v="7150"/>
    <s v="Wireless Mouse"/>
    <s v="Accessories"/>
  </r>
  <r>
    <s v="ORD-2103"/>
    <x v="36"/>
    <x v="1"/>
    <s v="P101"/>
    <n v="4"/>
    <n v="45000"/>
    <s v="Neha Verma"/>
    <n v="180000"/>
    <s v="Laptop"/>
    <s v="Electronics"/>
  </r>
  <r>
    <s v="ORD-2104"/>
    <x v="36"/>
    <x v="0"/>
    <s v="P109"/>
    <n v="13"/>
    <n v="320"/>
    <s v="Riya Sen"/>
    <n v="4160"/>
    <s v="Notebook Pack"/>
    <s v="Stationery"/>
  </r>
  <r>
    <s v="ORD-2105"/>
    <x v="36"/>
    <x v="2"/>
    <s v="P102"/>
    <n v="2"/>
    <n v="12000"/>
    <s v="Pooja Desai"/>
    <n v="24000"/>
    <s v="Monitor"/>
    <s v="Electronics"/>
  </r>
  <r>
    <s v="ORD-2106"/>
    <x v="37"/>
    <x v="0"/>
    <s v="P109"/>
    <n v="40"/>
    <n v="320"/>
    <s v="Subhash Das"/>
    <n v="12800"/>
    <s v="Notebook Pack"/>
    <s v="Stationery"/>
  </r>
  <r>
    <s v="ORD-2107"/>
    <x v="38"/>
    <x v="3"/>
    <s v="P102"/>
    <n v="4"/>
    <n v="12000"/>
    <s v="Suresh Reddy"/>
    <n v="48000"/>
    <s v="Monitor"/>
    <s v="Electronics"/>
  </r>
  <r>
    <s v="ORD-2108"/>
    <x v="38"/>
    <x v="0"/>
    <s v="P108"/>
    <n v="1"/>
    <n v="9800"/>
    <s v="Subhash Das"/>
    <n v="9800"/>
    <s v="Study Desk"/>
    <s v="Furniture"/>
  </r>
  <r>
    <s v="ORD-2109"/>
    <x v="38"/>
    <x v="2"/>
    <s v="P110"/>
    <n v="48"/>
    <n v="180"/>
    <s v="Rohan Patil"/>
    <n v="8640"/>
    <s v="Pen Box"/>
    <s v="Stationery"/>
  </r>
  <r>
    <s v="ORD-2110"/>
    <x v="39"/>
    <x v="3"/>
    <s v="P101"/>
    <n v="4"/>
    <n v="45000"/>
    <s v="Karthik Iyer"/>
    <n v="180000"/>
    <s v="Laptop"/>
    <s v="Electronics"/>
  </r>
  <r>
    <s v="ORD-2111"/>
    <x v="39"/>
    <x v="0"/>
    <s v="P101"/>
    <n v="3"/>
    <n v="45000"/>
    <s v="Subhash Das"/>
    <n v="135000"/>
    <s v="Laptop"/>
    <s v="Electronics"/>
  </r>
  <r>
    <s v="ORD-2112"/>
    <x v="39"/>
    <x v="3"/>
    <s v="P107"/>
    <n v="1"/>
    <n v="7500"/>
    <s v="Suresh Reddy"/>
    <n v="7500"/>
    <s v="Office Chair"/>
    <s v="Furniture"/>
  </r>
  <r>
    <s v="ORD-2113"/>
    <x v="40"/>
    <x v="1"/>
    <s v="P104"/>
    <n v="4"/>
    <n v="650"/>
    <s v="Amit Sharma"/>
    <n v="2600"/>
    <s v="Wireless Mouse"/>
    <s v="Accessories"/>
  </r>
  <r>
    <s v="ORD-2114"/>
    <x v="40"/>
    <x v="0"/>
    <s v="P102"/>
    <n v="5"/>
    <n v="12000"/>
    <s v="Subhash Das"/>
    <n v="60000"/>
    <s v="Monitor"/>
    <s v="Electronics"/>
  </r>
  <r>
    <s v="ORD-2115"/>
    <x v="40"/>
    <x v="2"/>
    <s v="P105"/>
    <n v="14"/>
    <n v="1200"/>
    <s v="Pooja Desai"/>
    <n v="16800"/>
    <s v="Keyboard"/>
    <s v="Accessories"/>
  </r>
  <r>
    <s v="ORD-2116"/>
    <x v="41"/>
    <x v="1"/>
    <s v="P104"/>
    <n v="10"/>
    <n v="650"/>
    <s v="Vikas Jadhav"/>
    <n v="6500"/>
    <s v="Wireless Mouse"/>
    <s v="Accessories"/>
  </r>
  <r>
    <s v="ORD-2117"/>
    <x v="41"/>
    <x v="3"/>
    <s v="P105"/>
    <n v="19"/>
    <n v="1200"/>
    <s v="Karthik Iyer"/>
    <n v="22800"/>
    <s v="Keyboard"/>
    <s v="Accessories"/>
  </r>
  <r>
    <s v="ORD-2118"/>
    <x v="42"/>
    <x v="0"/>
    <s v="P109"/>
    <n v="56"/>
    <n v="320"/>
    <s v="Arnab Ghosh"/>
    <n v="17920"/>
    <s v="Notebook Pack"/>
    <s v="Stationery"/>
  </r>
  <r>
    <s v="ORD-2119"/>
    <x v="42"/>
    <x v="2"/>
    <s v="P104"/>
    <n v="15"/>
    <n v="650"/>
    <s v="Rohan Patil"/>
    <n v="9750"/>
    <s v="Wireless Mouse"/>
    <s v="Accessories"/>
  </r>
  <r>
    <s v="ORD-2120"/>
    <x v="42"/>
    <x v="1"/>
    <s v="P110"/>
    <n v="74"/>
    <n v="180"/>
    <s v="Neha Verma"/>
    <n v="13320"/>
    <s v="Pen Box"/>
    <s v="Stationery"/>
  </r>
  <r>
    <s v="ORD-2121"/>
    <x v="43"/>
    <x v="3"/>
    <s v="P101"/>
    <n v="3"/>
    <n v="45000"/>
    <s v="Suresh Reddy"/>
    <n v="135000"/>
    <s v="Laptop"/>
    <s v="Electronics"/>
  </r>
  <r>
    <s v="ORD-2122"/>
    <x v="43"/>
    <x v="1"/>
    <s v="P109"/>
    <n v="13"/>
    <n v="320"/>
    <s v="Amit Sharma"/>
    <n v="4160"/>
    <s v="Notebook Pack"/>
    <s v="Stationery"/>
  </r>
  <r>
    <s v="ORD-2123"/>
    <x v="43"/>
    <x v="3"/>
    <s v="P102"/>
    <n v="5"/>
    <n v="12000"/>
    <s v="Divya Nair"/>
    <n v="60000"/>
    <s v="Monitor"/>
    <s v="Electronics"/>
  </r>
  <r>
    <s v="ORD-2124"/>
    <x v="44"/>
    <x v="1"/>
    <s v="P108"/>
    <n v="1"/>
    <n v="9800"/>
    <s v="Amit Sharma"/>
    <n v="9800"/>
    <s v="Study Desk"/>
    <s v="Furniture"/>
  </r>
  <r>
    <s v="ORD-2125"/>
    <x v="44"/>
    <x v="1"/>
    <s v="P101"/>
    <n v="2"/>
    <n v="45000"/>
    <s v="Neha Verma"/>
    <n v="90000"/>
    <s v="Laptop"/>
    <s v="Electronics"/>
  </r>
  <r>
    <s v="ORD-2126"/>
    <x v="45"/>
    <x v="3"/>
    <s v="P108"/>
    <n v="2"/>
    <n v="9800"/>
    <s v="Karthik Iyer"/>
    <n v="19600"/>
    <s v="Study Desk"/>
    <s v="Furniture"/>
  </r>
  <r>
    <s v="ORD-2127"/>
    <x v="46"/>
    <x v="2"/>
    <s v="P107"/>
    <n v="5"/>
    <n v="7500"/>
    <s v="Pooja Desai"/>
    <n v="37500"/>
    <s v="Office Chair"/>
    <s v="Furniture"/>
  </r>
  <r>
    <s v="ORD-2128"/>
    <x v="47"/>
    <x v="3"/>
    <s v="P110"/>
    <n v="69"/>
    <n v="180"/>
    <s v="Karthik Iyer"/>
    <n v="12420"/>
    <s v="Pen Box"/>
    <s v="Stationery"/>
  </r>
  <r>
    <s v="ORD-2129"/>
    <x v="48"/>
    <x v="1"/>
    <s v="P104"/>
    <n v="20"/>
    <n v="650"/>
    <s v="Vikas Jadhav"/>
    <n v="13000"/>
    <s v="Wireless Mouse"/>
    <s v="Accessories"/>
  </r>
  <r>
    <s v="ORD-2130"/>
    <x v="48"/>
    <x v="2"/>
    <s v="P107"/>
    <n v="6"/>
    <n v="7500"/>
    <s v="Sneha Kulkarni"/>
    <n v="45000"/>
    <s v="Office Chair"/>
    <s v="Furniture"/>
  </r>
  <r>
    <s v="ORD-2131"/>
    <x v="49"/>
    <x v="1"/>
    <s v="P108"/>
    <n v="3"/>
    <n v="9800"/>
    <s v="Amit Sharma"/>
    <n v="29400"/>
    <s v="Study Desk"/>
    <s v="Furniture"/>
  </r>
  <r>
    <s v="ORD-2132"/>
    <x v="50"/>
    <x v="2"/>
    <s v="P105"/>
    <n v="15"/>
    <n v="1200"/>
    <s v="Sneha Kulkarni"/>
    <n v="18000"/>
    <s v="Keyboard"/>
    <s v="Accessories"/>
  </r>
  <r>
    <s v="ORD-2133"/>
    <x v="50"/>
    <x v="0"/>
    <s v="P104"/>
    <n v="12"/>
    <n v="650"/>
    <s v="Subhash Das"/>
    <n v="7800"/>
    <s v="Wireless Mouse"/>
    <s v="Accessories"/>
  </r>
  <r>
    <s v="ORD-2134"/>
    <x v="50"/>
    <x v="3"/>
    <s v="P110"/>
    <n v="68"/>
    <n v="180"/>
    <s v="Karthik Iyer"/>
    <n v="12240"/>
    <s v="Pen Box"/>
    <s v="Stationery"/>
  </r>
  <r>
    <s v="ORD-2135"/>
    <x v="50"/>
    <x v="0"/>
    <s v="P105"/>
    <n v="14"/>
    <n v="1200"/>
    <s v="Arnab Ghosh"/>
    <n v="16800"/>
    <s v="Keyboard"/>
    <s v="Accessories"/>
  </r>
  <r>
    <s v="ORD-2136"/>
    <x v="51"/>
    <x v="3"/>
    <s v="P102"/>
    <n v="4"/>
    <n v="12000"/>
    <s v="Karthik Iyer"/>
    <n v="48000"/>
    <s v="Monitor"/>
    <s v="Electronics"/>
  </r>
  <r>
    <s v="ORD-2137"/>
    <x v="51"/>
    <x v="3"/>
    <s v="P109"/>
    <n v="65"/>
    <n v="320"/>
    <s v="Divya Nair"/>
    <n v="20800"/>
    <s v="Notebook Pack"/>
    <s v="Stationery"/>
  </r>
  <r>
    <s v="ORD-2138"/>
    <x v="51"/>
    <x v="3"/>
    <s v="P104"/>
    <n v="19"/>
    <n v="650"/>
    <s v="Divya Nair"/>
    <n v="12350"/>
    <s v="Wireless Mouse"/>
    <s v="Accessories"/>
  </r>
  <r>
    <s v="ORD-2139"/>
    <x v="52"/>
    <x v="0"/>
    <s v="P106"/>
    <n v="18"/>
    <n v="2200"/>
    <s v="Riya Sen"/>
    <n v="39600"/>
    <s v="Headphones"/>
    <s v="Accessories"/>
  </r>
  <r>
    <s v="ORD-2140"/>
    <x v="52"/>
    <x v="1"/>
    <s v="P109"/>
    <n v="13"/>
    <n v="320"/>
    <s v="Vikas Jadhav"/>
    <n v="4160"/>
    <s v="Notebook Pack"/>
    <s v="Stationery"/>
  </r>
  <r>
    <s v="ORD-2141"/>
    <x v="52"/>
    <x v="0"/>
    <s v="P102"/>
    <n v="1"/>
    <n v="12000"/>
    <s v="Riya Sen"/>
    <n v="12000"/>
    <s v="Monitor"/>
    <s v="Electronics"/>
  </r>
  <r>
    <s v="ORD-2143"/>
    <x v="53"/>
    <x v="1"/>
    <s v="P105"/>
    <n v="5"/>
    <n v="1200"/>
    <s v="Amit Sharma"/>
    <n v="6000"/>
    <s v="Keyboard"/>
    <s v="Accessories"/>
  </r>
  <r>
    <s v="ORD-2144"/>
    <x v="53"/>
    <x v="2"/>
    <s v="P101"/>
    <n v="3"/>
    <n v="45000"/>
    <s v="Rohan Patil"/>
    <n v="135000"/>
    <s v="Laptop"/>
    <s v="Electronics"/>
  </r>
  <r>
    <s v="ORD-2145"/>
    <x v="54"/>
    <x v="2"/>
    <s v="P107"/>
    <n v="6"/>
    <n v="7500"/>
    <s v="Rohan Patil"/>
    <n v="45000"/>
    <s v="Office Chair"/>
    <s v="Furniture"/>
  </r>
  <r>
    <s v="ORD-2146"/>
    <x v="54"/>
    <x v="0"/>
    <s v="P102"/>
    <n v="4"/>
    <n v="12000"/>
    <s v="Arnab Ghosh"/>
    <n v="48000"/>
    <s v="Monitor"/>
    <s v="Electronics"/>
  </r>
  <r>
    <s v="ORD-2147"/>
    <x v="54"/>
    <x v="2"/>
    <s v="P101"/>
    <n v="4"/>
    <n v="45000"/>
    <s v="Sneha Kulkarni"/>
    <n v="180000"/>
    <s v="Laptop"/>
    <s v="Electronics"/>
  </r>
  <r>
    <s v="ORD-2148"/>
    <x v="55"/>
    <x v="3"/>
    <s v="P103"/>
    <n v="3"/>
    <n v="9500"/>
    <s v="Karthik Iyer"/>
    <n v="28500"/>
    <s v="Printer"/>
    <s v="Electronics"/>
  </r>
  <r>
    <s v="ORD-2149"/>
    <x v="55"/>
    <x v="2"/>
    <s v="P107"/>
    <n v="6"/>
    <n v="7500"/>
    <s v="Sneha Kulkarni"/>
    <n v="45000"/>
    <s v="Office Chair"/>
    <s v="Furniture"/>
  </r>
  <r>
    <s v="ORD-2150"/>
    <x v="55"/>
    <x v="3"/>
    <s v="P103"/>
    <n v="5"/>
    <n v="9500"/>
    <s v="Karthik Iyer"/>
    <n v="47500"/>
    <s v="Printer"/>
    <s v="Electronics"/>
  </r>
  <r>
    <s v="ORD-2151"/>
    <x v="56"/>
    <x v="2"/>
    <s v="P104"/>
    <n v="14"/>
    <n v="650"/>
    <s v="Pooja Desai"/>
    <n v="9100"/>
    <s v="Wireless Mouse"/>
    <s v="Accessories"/>
  </r>
  <r>
    <s v="ORD-2152"/>
    <x v="56"/>
    <x v="1"/>
    <s v="P110"/>
    <n v="10"/>
    <n v="180"/>
    <s v="Amit Sharma"/>
    <n v="1800"/>
    <s v="Pen Box"/>
    <s v="Stationery"/>
  </r>
  <r>
    <s v="ORD-2153"/>
    <x v="56"/>
    <x v="0"/>
    <s v="P103"/>
    <n v="1"/>
    <n v="9500"/>
    <s v="Riya Sen"/>
    <n v="9500"/>
    <s v="Printer"/>
    <s v="Electronics"/>
  </r>
  <r>
    <s v="ORD-2154"/>
    <x v="56"/>
    <x v="1"/>
    <s v="P105"/>
    <n v="5"/>
    <n v="1200"/>
    <s v="Amit Sharma"/>
    <n v="6000"/>
    <s v="Keyboard"/>
    <s v="Accessories"/>
  </r>
  <r>
    <s v="ORD-2155"/>
    <x v="57"/>
    <x v="2"/>
    <s v="P104"/>
    <n v="19"/>
    <n v="650"/>
    <s v="Pooja Desai"/>
    <n v="12350"/>
    <s v="Wireless Mouse"/>
    <s v="Accessories"/>
  </r>
  <r>
    <s v="ORD-2156"/>
    <x v="57"/>
    <x v="0"/>
    <s v="P109"/>
    <n v="57"/>
    <n v="320"/>
    <s v="Riya Sen"/>
    <n v="18240"/>
    <s v="Notebook Pack"/>
    <s v="Stationery"/>
  </r>
  <r>
    <s v="ORD-2157"/>
    <x v="57"/>
    <x v="2"/>
    <s v="P105"/>
    <n v="10"/>
    <n v="1200"/>
    <s v="Pooja Desai"/>
    <n v="12000"/>
    <s v="Keyboard"/>
    <s v="Accessories"/>
  </r>
  <r>
    <s v="ORD-2158"/>
    <x v="57"/>
    <x v="3"/>
    <s v="P104"/>
    <n v="7"/>
    <n v="650"/>
    <s v="Karthik Iyer"/>
    <n v="4550"/>
    <s v="Wireless Mouse"/>
    <s v="Accessories"/>
  </r>
  <r>
    <s v="ORD-2159"/>
    <x v="57"/>
    <x v="1"/>
    <s v="P102"/>
    <n v="2"/>
    <n v="12000"/>
    <s v="Vikas Jadhav"/>
    <n v="24000"/>
    <s v="Monitor"/>
    <s v="Electronics"/>
  </r>
  <r>
    <s v="ORD-2160"/>
    <x v="58"/>
    <x v="0"/>
    <s v="P109"/>
    <n v="10"/>
    <n v="320"/>
    <s v="Subhash Das"/>
    <n v="3200"/>
    <s v="Notebook Pack"/>
    <s v="Stationery"/>
  </r>
  <r>
    <s v="ORD-2161"/>
    <x v="58"/>
    <x v="3"/>
    <s v="P105"/>
    <n v="20"/>
    <n v="1200"/>
    <s v="Suresh Reddy"/>
    <n v="24000"/>
    <s v="Keyboard"/>
    <s v="Accessories"/>
  </r>
  <r>
    <s v="ORD-2162"/>
    <x v="58"/>
    <x v="3"/>
    <s v="P110"/>
    <n v="43"/>
    <n v="180"/>
    <s v="Suresh Reddy"/>
    <n v="7740"/>
    <s v="Pen Box"/>
    <s v="Stationery"/>
  </r>
  <r>
    <s v="ORD-2163"/>
    <x v="58"/>
    <x v="1"/>
    <s v="P106"/>
    <n v="11"/>
    <n v="2200"/>
    <s v="Vikas Jadhav"/>
    <n v="24200"/>
    <s v="Headphones"/>
    <s v="Accessories"/>
  </r>
  <r>
    <s v="ORD-2164"/>
    <x v="58"/>
    <x v="2"/>
    <s v="P103"/>
    <n v="3"/>
    <n v="9500"/>
    <s v="Pooja Desai"/>
    <n v="28500"/>
    <s v="Printer"/>
    <s v="Electronics"/>
  </r>
  <r>
    <s v="ORD-2167"/>
    <x v="59"/>
    <x v="3"/>
    <s v="P109"/>
    <n v="51"/>
    <n v="320"/>
    <s v="Suresh Reddy"/>
    <n v="16320"/>
    <s v="Notebook Pack"/>
    <s v="Stationery"/>
  </r>
  <r>
    <s v="ORD-2168"/>
    <x v="59"/>
    <x v="2"/>
    <s v="P104"/>
    <n v="17"/>
    <n v="650"/>
    <s v="Sneha Kulkarni"/>
    <n v="11050"/>
    <s v="Wireless Mouse"/>
    <s v="Accessories"/>
  </r>
  <r>
    <s v="ORD-2169"/>
    <x v="59"/>
    <x v="1"/>
    <s v="P104"/>
    <n v="20"/>
    <n v="650"/>
    <s v="Neha Verma"/>
    <n v="13000"/>
    <s v="Wireless Mouse"/>
    <s v="Accessories"/>
  </r>
  <r>
    <s v="ORD-2170"/>
    <x v="59"/>
    <x v="1"/>
    <s v="P104"/>
    <n v="9"/>
    <n v="650"/>
    <s v="Amit Sharma"/>
    <n v="5850"/>
    <s v="Wireless Mouse"/>
    <s v="Accessories"/>
  </r>
  <r>
    <s v="ORD-2171"/>
    <x v="59"/>
    <x v="1"/>
    <s v="P105"/>
    <n v="8"/>
    <n v="1200"/>
    <s v="Neha Verma"/>
    <n v="9600"/>
    <s v="Keyboard"/>
    <s v="Accessories"/>
  </r>
  <r>
    <s v="ORD-2172"/>
    <x v="60"/>
    <x v="0"/>
    <s v="P104"/>
    <n v="5"/>
    <n v="650"/>
    <s v="Subhash Das"/>
    <n v="3250"/>
    <s v="Wireless Mouse"/>
    <s v="Accessories"/>
  </r>
  <r>
    <s v="ORD-2173"/>
    <x v="60"/>
    <x v="2"/>
    <s v="P110"/>
    <n v="78"/>
    <n v="180"/>
    <s v="Pooja Desai"/>
    <n v="14040"/>
    <s v="Pen Box"/>
    <s v="Stationery"/>
  </r>
  <r>
    <s v="ORD-2174"/>
    <x v="61"/>
    <x v="1"/>
    <s v="P105"/>
    <n v="10"/>
    <n v="1200"/>
    <s v="Neha Verma"/>
    <n v="12000"/>
    <s v="Keyboard"/>
    <s v="Accessories"/>
  </r>
  <r>
    <s v="ORD-2176"/>
    <x v="61"/>
    <x v="1"/>
    <s v="P105"/>
    <n v="8"/>
    <n v="1200"/>
    <s v="Neha Verma"/>
    <n v="9600"/>
    <s v="Keyboard"/>
    <s v="Accessories"/>
  </r>
  <r>
    <s v="ORD-2177"/>
    <x v="62"/>
    <x v="0"/>
    <s v="P110"/>
    <n v="24"/>
    <n v="180"/>
    <s v="Arnab Ghosh"/>
    <n v="4320"/>
    <s v="Pen Box"/>
    <s v="Stationery"/>
  </r>
  <r>
    <s v="ORD-2178"/>
    <x v="62"/>
    <x v="3"/>
    <s v="P104"/>
    <n v="16"/>
    <n v="650"/>
    <s v="Suresh Reddy"/>
    <n v="10400"/>
    <s v="Wireless Mouse"/>
    <s v="Accessories"/>
  </r>
  <r>
    <s v="ORD-2179"/>
    <x v="62"/>
    <x v="1"/>
    <s v="P101"/>
    <n v="2"/>
    <n v="45000"/>
    <s v="Neha Verma"/>
    <n v="90000"/>
    <s v="Laptop"/>
    <s v="Electronics"/>
  </r>
  <r>
    <s v="ORD-2180"/>
    <x v="63"/>
    <x v="2"/>
    <s v="P102"/>
    <n v="5"/>
    <n v="12000"/>
    <s v="Rohan Patil"/>
    <n v="60000"/>
    <s v="Monitor"/>
    <s v="Electronics"/>
  </r>
  <r>
    <s v="ORD-2181"/>
    <x v="63"/>
    <x v="0"/>
    <s v="P107"/>
    <n v="4"/>
    <n v="7500"/>
    <s v="Riya Sen"/>
    <n v="30000"/>
    <s v="Office Chair"/>
    <s v="Furniture"/>
  </r>
  <r>
    <s v="ORD-2182"/>
    <x v="64"/>
    <x v="2"/>
    <s v="P108"/>
    <n v="5"/>
    <n v="9800"/>
    <s v="Sneha Kulkarni"/>
    <n v="49000"/>
    <s v="Study Desk"/>
    <s v="Furniture"/>
  </r>
  <r>
    <s v="ORD-2183"/>
    <x v="65"/>
    <x v="3"/>
    <s v="P106"/>
    <n v="14"/>
    <n v="2200"/>
    <s v="Suresh Reddy"/>
    <n v="30800"/>
    <s v="Headphones"/>
    <s v="Accessories"/>
  </r>
  <r>
    <s v="ORD-2184"/>
    <x v="65"/>
    <x v="1"/>
    <s v="P105"/>
    <n v="2"/>
    <n v="1200"/>
    <s v="Amit Sharma"/>
    <n v="2400"/>
    <s v="Keyboard"/>
    <s v="Accessories"/>
  </r>
  <r>
    <s v="ORD-2185"/>
    <x v="65"/>
    <x v="2"/>
    <s v="P110"/>
    <n v="80"/>
    <n v="180"/>
    <s v="Sneha Kulkarni"/>
    <n v="14400"/>
    <s v="Pen Box"/>
    <s v="Stationery"/>
  </r>
  <r>
    <s v="ORD-2186"/>
    <x v="65"/>
    <x v="0"/>
    <s v="P105"/>
    <n v="15"/>
    <n v="1200"/>
    <s v="Subhash Das"/>
    <n v="18000"/>
    <s v="Keyboard"/>
    <s v="Accessories"/>
  </r>
  <r>
    <s v="ORD-2187"/>
    <x v="66"/>
    <x v="2"/>
    <s v="P109"/>
    <n v="24"/>
    <n v="320"/>
    <s v="Rohan Patil"/>
    <n v="7680"/>
    <s v="Notebook Pack"/>
    <s v="Stationery"/>
  </r>
  <r>
    <s v="ORD-2188"/>
    <x v="66"/>
    <x v="0"/>
    <s v="P103"/>
    <n v="2"/>
    <n v="9500"/>
    <s v="Subhash Das"/>
    <n v="19000"/>
    <s v="Printer"/>
    <s v="Electronics"/>
  </r>
  <r>
    <s v="ORD-2189"/>
    <x v="66"/>
    <x v="0"/>
    <s v="P106"/>
    <n v="16"/>
    <n v="2200"/>
    <s v="Riya Sen"/>
    <n v="35200"/>
    <s v="Headphones"/>
    <s v="Accessories"/>
  </r>
  <r>
    <s v="ORD-2190"/>
    <x v="66"/>
    <x v="2"/>
    <s v="P110"/>
    <n v="14"/>
    <n v="180"/>
    <s v="Rohan Patil"/>
    <n v="2520"/>
    <s v="Pen Box"/>
    <s v="Stationery"/>
  </r>
  <r>
    <s v="ORD-2191"/>
    <x v="67"/>
    <x v="3"/>
    <s v="P102"/>
    <n v="1"/>
    <n v="12000"/>
    <s v="Divya Nair"/>
    <n v="12000"/>
    <s v="Monitor"/>
    <s v="Electronics"/>
  </r>
  <r>
    <s v="ORD-2192"/>
    <x v="67"/>
    <x v="0"/>
    <s v="P106"/>
    <n v="19"/>
    <n v="2200"/>
    <s v="Subhash Das"/>
    <n v="41800"/>
    <s v="Headphones"/>
    <s v="Accessories"/>
  </r>
  <r>
    <s v="ORD-2193"/>
    <x v="67"/>
    <x v="3"/>
    <s v="P108"/>
    <n v="1"/>
    <n v="9800"/>
    <s v="Divya Nair"/>
    <n v="9800"/>
    <s v="Study Desk"/>
    <s v="Furniture"/>
  </r>
  <r>
    <s v="ORD-2194"/>
    <x v="67"/>
    <x v="1"/>
    <s v="P107"/>
    <n v="2"/>
    <n v="7500"/>
    <s v="Amit Sharma"/>
    <n v="15000"/>
    <s v="Office Chair"/>
    <s v="Furniture"/>
  </r>
  <r>
    <s v="ORD-2195"/>
    <x v="68"/>
    <x v="1"/>
    <s v="P105"/>
    <n v="3"/>
    <n v="1200"/>
    <s v="Vikas Jadhav"/>
    <n v="3600"/>
    <s v="Keyboard"/>
    <s v="Accessories"/>
  </r>
  <r>
    <s v="ORD-2196"/>
    <x v="68"/>
    <x v="0"/>
    <s v="P102"/>
    <n v="3"/>
    <n v="12000"/>
    <s v="Arnab Ghosh"/>
    <n v="36000"/>
    <s v="Monitor"/>
    <s v="Electronics"/>
  </r>
  <r>
    <s v="ORD-2197"/>
    <x v="68"/>
    <x v="1"/>
    <s v="P110"/>
    <n v="25"/>
    <n v="180"/>
    <s v="Amit Sharma"/>
    <n v="4500"/>
    <s v="Pen Box"/>
    <s v="Stationery"/>
  </r>
  <r>
    <s v="ORD-2198"/>
    <x v="69"/>
    <x v="3"/>
    <s v="P110"/>
    <n v="47"/>
    <n v="180"/>
    <s v="Suresh Reddy"/>
    <n v="8460"/>
    <s v="Pen Box"/>
    <s v="Stationery"/>
  </r>
  <r>
    <s v="ORD-2199"/>
    <x v="69"/>
    <x v="3"/>
    <s v="P105"/>
    <n v="10"/>
    <n v="1200"/>
    <s v="Divya Nair"/>
    <n v="12000"/>
    <s v="Keyboard"/>
    <s v="Accessories"/>
  </r>
  <r>
    <s v="ORD-2200"/>
    <x v="70"/>
    <x v="3"/>
    <s v="P106"/>
    <n v="4"/>
    <n v="2200"/>
    <s v="Karthik Iyer"/>
    <n v="8800"/>
    <s v="Headphones"/>
    <s v="Accessories"/>
  </r>
  <r>
    <s v="ORD-2201"/>
    <x v="70"/>
    <x v="3"/>
    <s v="P104"/>
    <n v="17"/>
    <n v="650"/>
    <s v="Divya Nair"/>
    <n v="11050"/>
    <s v="Wireless Mouse"/>
    <s v="Accessories"/>
  </r>
  <r>
    <s v="ORD-2202"/>
    <x v="71"/>
    <x v="3"/>
    <s v="P104"/>
    <n v="16"/>
    <n v="650"/>
    <s v="Divya Nair"/>
    <n v="10400"/>
    <s v="Wireless Mouse"/>
    <s v="Accessories"/>
  </r>
  <r>
    <s v="ORD-2203"/>
    <x v="71"/>
    <x v="0"/>
    <s v="P104"/>
    <n v="2"/>
    <n v="650"/>
    <s v="Arnab Ghosh"/>
    <n v="1300"/>
    <s v="Wireless Mouse"/>
    <s v="Accessories"/>
  </r>
  <r>
    <s v="ORD-2204"/>
    <x v="72"/>
    <x v="2"/>
    <s v="P103"/>
    <n v="3"/>
    <n v="9500"/>
    <s v="Sneha Kulkarni"/>
    <n v="28500"/>
    <s v="Printer"/>
    <s v="Electronics"/>
  </r>
  <r>
    <s v="ORD-2206"/>
    <x v="72"/>
    <x v="3"/>
    <s v="P105"/>
    <n v="18"/>
    <n v="1200"/>
    <s v="Suresh Reddy"/>
    <n v="21600"/>
    <s v="Keyboard"/>
    <s v="Accessories"/>
  </r>
  <r>
    <s v="ORD-2207"/>
    <x v="73"/>
    <x v="2"/>
    <s v="P106"/>
    <n v="19"/>
    <n v="2200"/>
    <s v="Sneha Kulkarni"/>
    <n v="41800"/>
    <s v="Headphones"/>
    <s v="Accessories"/>
  </r>
  <r>
    <s v="ORD-2208"/>
    <x v="74"/>
    <x v="1"/>
    <s v="P104"/>
    <n v="14"/>
    <n v="650"/>
    <s v="Amit Sharma"/>
    <n v="9100"/>
    <s v="Wireless Mouse"/>
    <s v="Accessories"/>
  </r>
  <r>
    <s v="ORD-2209"/>
    <x v="75"/>
    <x v="0"/>
    <s v="P108"/>
    <n v="3"/>
    <n v="9800"/>
    <s v="Subhash Das"/>
    <n v="29400"/>
    <s v="Study Desk"/>
    <s v="Furniture"/>
  </r>
  <r>
    <s v="ORD-2210"/>
    <x v="75"/>
    <x v="1"/>
    <s v="P110"/>
    <n v="72"/>
    <n v="180"/>
    <s v="Amit Sharma"/>
    <n v="12960"/>
    <s v="Pen Box"/>
    <s v="Stationery"/>
  </r>
  <r>
    <s v="ORD-2211"/>
    <x v="76"/>
    <x v="0"/>
    <s v="P110"/>
    <n v="43"/>
    <n v="180"/>
    <s v="Arnab Ghosh"/>
    <n v="7740"/>
    <s v="Pen Box"/>
    <s v="Stationery"/>
  </r>
  <r>
    <s v="ORD-2212"/>
    <x v="76"/>
    <x v="1"/>
    <s v="P104"/>
    <n v="5"/>
    <n v="650"/>
    <s v="Neha Verma"/>
    <n v="3250"/>
    <s v="Wireless Mouse"/>
    <s v="Accessories"/>
  </r>
  <r>
    <s v="ORD-2213"/>
    <x v="76"/>
    <x v="3"/>
    <s v="P102"/>
    <n v="1"/>
    <n v="12000"/>
    <s v="Divya Nair"/>
    <n v="12000"/>
    <s v="Monitor"/>
    <s v="Electronics"/>
  </r>
  <r>
    <s v="ORD-2214"/>
    <x v="77"/>
    <x v="2"/>
    <s v="P101"/>
    <n v="2"/>
    <n v="45000"/>
    <s v="Sneha Kulkarni"/>
    <n v="90000"/>
    <s v="Laptop"/>
    <s v="Electronics"/>
  </r>
  <r>
    <s v="ORD-2215"/>
    <x v="77"/>
    <x v="1"/>
    <s v="P107"/>
    <n v="6"/>
    <n v="7500"/>
    <s v="Neha Verma"/>
    <n v="45000"/>
    <s v="Office Chair"/>
    <s v="Furniture"/>
  </r>
  <r>
    <s v="ORD-2216"/>
    <x v="78"/>
    <x v="0"/>
    <s v="P104"/>
    <n v="14"/>
    <n v="650"/>
    <s v="Arnab Ghosh"/>
    <n v="9100"/>
    <s v="Wireless Mouse"/>
    <s v="Accessories"/>
  </r>
  <r>
    <s v="ORD-2217"/>
    <x v="79"/>
    <x v="2"/>
    <s v="P102"/>
    <n v="1"/>
    <n v="12000"/>
    <s v="Rohan Patil"/>
    <n v="12000"/>
    <s v="Monitor"/>
    <s v="Electronics"/>
  </r>
  <r>
    <s v="ORD-2218"/>
    <x v="80"/>
    <x v="0"/>
    <s v="P104"/>
    <n v="6"/>
    <n v="650"/>
    <s v="Riya Sen"/>
    <n v="3900"/>
    <s v="Wireless Mouse"/>
    <s v="Accessories"/>
  </r>
  <r>
    <s v="ORD-2219"/>
    <x v="80"/>
    <x v="1"/>
    <s v="P107"/>
    <n v="5"/>
    <n v="7500"/>
    <s v="Vikas Jadhav"/>
    <n v="37500"/>
    <s v="Office Chair"/>
    <s v="Furniture"/>
  </r>
  <r>
    <s v="ORD-2220"/>
    <x v="81"/>
    <x v="1"/>
    <s v="P999"/>
    <n v="13"/>
    <n v="2200"/>
    <s v="Neha Verma"/>
    <n v="28600"/>
    <s v="Not Found"/>
    <s v="Not Found"/>
  </r>
  <r>
    <s v="ORD-2221"/>
    <x v="81"/>
    <x v="2"/>
    <s v="P103"/>
    <n v="3"/>
    <n v="9500"/>
    <s v="Sneha Kulkarni"/>
    <n v="28500"/>
    <s v="Printer"/>
    <s v="Electronics"/>
  </r>
  <r>
    <s v="ORD-2222"/>
    <x v="81"/>
    <x v="3"/>
    <s v="P105"/>
    <n v="15"/>
    <n v="1200"/>
    <s v="Suresh Reddy"/>
    <n v="18000"/>
    <s v="Keyboard"/>
    <s v="Accessories"/>
  </r>
  <r>
    <s v="ORD-2223"/>
    <x v="82"/>
    <x v="2"/>
    <s v="P109"/>
    <n v="64"/>
    <n v="320"/>
    <s v="Pooja Desai"/>
    <n v="20480"/>
    <s v="Notebook Pack"/>
    <s v="Stationery"/>
  </r>
  <r>
    <s v="ORD-2224"/>
    <x v="82"/>
    <x v="2"/>
    <s v="P104"/>
    <n v="19"/>
    <n v="650"/>
    <s v="Sneha Kulkarni"/>
    <n v="12350"/>
    <s v="Wireless Mouse"/>
    <s v="Accessories"/>
  </r>
  <r>
    <s v="ORD-2225"/>
    <x v="82"/>
    <x v="0"/>
    <s v="P103"/>
    <n v="3"/>
    <n v="9500"/>
    <s v="Subhash Das"/>
    <n v="28500"/>
    <s v="Printer"/>
    <s v="Electronics"/>
  </r>
  <r>
    <s v="ORD-2226"/>
    <x v="82"/>
    <x v="1"/>
    <s v="P106"/>
    <n v="12"/>
    <n v="2200"/>
    <s v="Amit Sharma"/>
    <n v="26400"/>
    <s v="Headphones"/>
    <s v="Accessories"/>
  </r>
  <r>
    <s v="ORD-2227"/>
    <x v="82"/>
    <x v="1"/>
    <s v="P108"/>
    <n v="6"/>
    <n v="9800"/>
    <s v="Vikas Jadhav"/>
    <n v="58800"/>
    <s v="Study Desk"/>
    <s v="Furniture"/>
  </r>
  <r>
    <s v="ORD-2228"/>
    <x v="83"/>
    <x v="3"/>
    <s v="P105"/>
    <n v="16"/>
    <n v="1200"/>
    <s v="Karthik Iyer"/>
    <n v="19200"/>
    <s v="Keyboard"/>
    <s v="Accessories"/>
  </r>
  <r>
    <s v="ORD-2229"/>
    <x v="83"/>
    <x v="2"/>
    <s v="P109"/>
    <n v="53"/>
    <n v="320"/>
    <s v="Pooja Desai"/>
    <n v="16960"/>
    <s v="Notebook Pack"/>
    <s v="Stationery"/>
  </r>
  <r>
    <s v="ORD-2230"/>
    <x v="84"/>
    <x v="2"/>
    <s v="P106"/>
    <n v="15"/>
    <n v="2200"/>
    <s v="Sneha Kulkarni"/>
    <n v="33000"/>
    <s v="Headphones"/>
    <s v="Accessories"/>
  </r>
  <r>
    <s v="ORD-2231"/>
    <x v="84"/>
    <x v="1"/>
    <s v="P109"/>
    <n v="20"/>
    <n v="320"/>
    <s v="Amit Sharma"/>
    <n v="6400"/>
    <s v="Notebook Pack"/>
    <s v="Stationery"/>
  </r>
  <r>
    <s v="ORD-2232"/>
    <x v="84"/>
    <x v="2"/>
    <s v="P105"/>
    <n v="5"/>
    <n v="1200"/>
    <s v="Rohan Patil"/>
    <n v="6000"/>
    <s v="Keyboard"/>
    <s v="Accessories"/>
  </r>
  <r>
    <s v="ORD-2233"/>
    <x v="84"/>
    <x v="3"/>
    <s v="P104"/>
    <n v="20"/>
    <n v="650"/>
    <s v="Unknown"/>
    <n v="13000"/>
    <s v="Wireless Mouse"/>
    <s v="Accessories"/>
  </r>
  <r>
    <s v="ORD-2234"/>
    <x v="84"/>
    <x v="0"/>
    <s v="P105"/>
    <n v="18"/>
    <n v="1200"/>
    <s v="Arnab Ghosh"/>
    <n v="21600"/>
    <s v="Keyboard"/>
    <s v="Accessories"/>
  </r>
  <r>
    <s v="ORD-2235"/>
    <x v="84"/>
    <x v="3"/>
    <s v="P101"/>
    <n v="5"/>
    <n v="45000"/>
    <s v="Karthik Iyer"/>
    <n v="225000"/>
    <s v="Laptop"/>
    <s v="Electronics"/>
  </r>
  <r>
    <s v="ORD-2236"/>
    <x v="85"/>
    <x v="3"/>
    <s v="P107"/>
    <n v="6"/>
    <n v="7500"/>
    <s v="Karthik Iyer"/>
    <n v="45000"/>
    <s v="Office Chair"/>
    <s v="Furniture"/>
  </r>
  <r>
    <s v="ORD-2237"/>
    <x v="85"/>
    <x v="2"/>
    <s v="P101"/>
    <n v="5"/>
    <n v="45000"/>
    <s v="Rohan Patil"/>
    <n v="225000"/>
    <s v="Laptop"/>
    <s v="Electronics"/>
  </r>
  <r>
    <s v="ORD-2238"/>
    <x v="86"/>
    <x v="1"/>
    <s v="P103"/>
    <n v="5"/>
    <n v="9500"/>
    <s v="Vikas Jadhav"/>
    <n v="47500"/>
    <s v="Printer"/>
    <s v="Electronics"/>
  </r>
  <r>
    <s v="ORD-2239"/>
    <x v="86"/>
    <x v="0"/>
    <s v="P106"/>
    <n v="10"/>
    <n v="2200"/>
    <s v="Subhash Das"/>
    <n v="22000"/>
    <s v="Headphones"/>
    <s v="Accessories"/>
  </r>
  <r>
    <s v="ORD-2240"/>
    <x v="86"/>
    <x v="1"/>
    <s v="P104"/>
    <n v="7"/>
    <n v="650"/>
    <s v="Vikas Jadhav"/>
    <n v="4550"/>
    <s v="Wireless Mouse"/>
    <s v="Accessories"/>
  </r>
  <r>
    <s v="ORD-2241"/>
    <x v="86"/>
    <x v="2"/>
    <s v="P110"/>
    <n v="57"/>
    <n v="180"/>
    <s v="Pooja Desai"/>
    <n v="10260"/>
    <s v="Pen Box"/>
    <s v="Stationery"/>
  </r>
  <r>
    <s v="ORD-2242"/>
    <x v="87"/>
    <x v="1"/>
    <s v="P101"/>
    <n v="1"/>
    <n v="45000"/>
    <s v="Vikas Jadhav"/>
    <n v="45000"/>
    <s v="Laptop"/>
    <s v="Electronics"/>
  </r>
  <r>
    <s v="ORD-2243"/>
    <x v="87"/>
    <x v="1"/>
    <s v="P103"/>
    <n v="2"/>
    <n v="9500"/>
    <s v="Neha Verma"/>
    <n v="19000"/>
    <s v="Printer"/>
    <s v="Electronics"/>
  </r>
  <r>
    <s v="ORD-2244"/>
    <x v="87"/>
    <x v="0"/>
    <s v="P106"/>
    <n v="8"/>
    <n v="2200"/>
    <s v="Subhash Das"/>
    <n v="17600"/>
    <s v="Headphones"/>
    <s v="Accessories"/>
  </r>
  <r>
    <s v="ORD-2245"/>
    <x v="88"/>
    <x v="0"/>
    <s v="P102"/>
    <n v="1"/>
    <n v="12000"/>
    <s v="Riya Sen"/>
    <n v="12000"/>
    <s v="Monitor"/>
    <s v="Electronics"/>
  </r>
  <r>
    <s v="ORD-2246"/>
    <x v="88"/>
    <x v="1"/>
    <s v="P105"/>
    <n v="9"/>
    <n v="1200"/>
    <s v="Neha Verma"/>
    <n v="10800"/>
    <s v="Keyboard"/>
    <s v="Accessories"/>
  </r>
  <r>
    <s v="ORD-2247"/>
    <x v="88"/>
    <x v="3"/>
    <s v="P109"/>
    <n v="23"/>
    <n v="320"/>
    <s v="Divya Nair"/>
    <n v="7360"/>
    <s v="Notebook Pack"/>
    <s v="Stationery"/>
  </r>
  <r>
    <s v="ORD-2248"/>
    <x v="88"/>
    <x v="2"/>
    <s v="P109"/>
    <n v="49"/>
    <n v="320"/>
    <s v="Pooja Desai"/>
    <n v="15680"/>
    <s v="Notebook Pack"/>
    <s v="Stationery"/>
  </r>
  <r>
    <s v="ORD-2249"/>
    <x v="88"/>
    <x v="3"/>
    <s v="P103"/>
    <n v="3"/>
    <n v="9500"/>
    <s v="Karthik Iyer"/>
    <n v="28500"/>
    <s v="Printer"/>
    <s v="Electronics"/>
  </r>
  <r>
    <s v="ORD-2250"/>
    <x v="89"/>
    <x v="1"/>
    <s v="P103"/>
    <n v="3"/>
    <n v="9500"/>
    <s v="Neha Verma"/>
    <n v="28500"/>
    <s v="Printer"/>
    <s v="Electronics"/>
  </r>
  <r>
    <s v="ORD-2251"/>
    <x v="90"/>
    <x v="0"/>
    <s v="P111"/>
    <n v="29"/>
    <n v="180"/>
    <s v="Riya Sen"/>
    <n v="5220"/>
    <s v="Not Found"/>
    <s v="Not Found"/>
  </r>
  <r>
    <s v="ORD-2252"/>
    <x v="90"/>
    <x v="0"/>
    <s v="P103"/>
    <n v="2"/>
    <n v="9500"/>
    <s v="Subhash Das"/>
    <n v="19000"/>
    <s v="Printer"/>
    <s v="Electronics"/>
  </r>
  <r>
    <s v="ORD-2253"/>
    <x v="90"/>
    <x v="1"/>
    <s v="P101"/>
    <n v="4"/>
    <n v="45000"/>
    <s v="Neha Verma"/>
    <n v="180000"/>
    <s v="Laptop"/>
    <s v="Electronics"/>
  </r>
  <r>
    <s v="ORD-2254"/>
    <x v="91"/>
    <x v="1"/>
    <s v="P101"/>
    <n v="3"/>
    <n v="45000"/>
    <s v="Neha Verma"/>
    <n v="135000"/>
    <s v="Laptop"/>
    <s v="Electronics"/>
  </r>
  <r>
    <s v="ORD-2255"/>
    <x v="91"/>
    <x v="0"/>
    <s v="P108"/>
    <n v="5"/>
    <n v="9800"/>
    <s v="Riya Sen"/>
    <n v="49000"/>
    <s v="Study Desk"/>
    <s v="Furniture"/>
  </r>
  <r>
    <s v="ORD-2256"/>
    <x v="91"/>
    <x v="2"/>
    <s v="P104"/>
    <n v="16"/>
    <n v="650"/>
    <s v="Rohan Patil"/>
    <n v="10400"/>
    <s v="Wireless Mouse"/>
    <s v="Accessories"/>
  </r>
  <r>
    <s v="ORD-2257"/>
    <x v="91"/>
    <x v="0"/>
    <s v="P107"/>
    <n v="5"/>
    <n v="7500"/>
    <s v="Riya Sen"/>
    <n v="37500"/>
    <s v="Office Chair"/>
    <s v="Furniture"/>
  </r>
  <r>
    <s v="ORD-2258"/>
    <x v="92"/>
    <x v="2"/>
    <s v="P104"/>
    <n v="7"/>
    <n v="650"/>
    <s v="Sneha Kulkarni"/>
    <n v="4550"/>
    <s v="Wireless Mouse"/>
    <s v="Accessories"/>
  </r>
  <r>
    <s v="ORD-2259"/>
    <x v="92"/>
    <x v="0"/>
    <s v="P103"/>
    <n v="2"/>
    <n v="9500"/>
    <s v="Subhash Das"/>
    <n v="19000"/>
    <s v="Printer"/>
    <s v="Electronics"/>
  </r>
  <r>
    <s v="ORD-2260"/>
    <x v="93"/>
    <x v="1"/>
    <s v="P104"/>
    <n v="12"/>
    <n v="650"/>
    <s v="Unknown"/>
    <n v="7800"/>
    <s v="Wireless Mouse"/>
    <s v="Accessories"/>
  </r>
  <r>
    <s v="ORD-2261"/>
    <x v="93"/>
    <x v="0"/>
    <s v="P106"/>
    <n v="10"/>
    <n v="2200"/>
    <s v="Arnab Ghosh"/>
    <n v="22000"/>
    <s v="Headphones"/>
    <s v="Accessories"/>
  </r>
  <r>
    <s v="ORD-2262"/>
    <x v="93"/>
    <x v="2"/>
    <s v="P110"/>
    <n v="53"/>
    <n v="180"/>
    <s v="Sneha Kulkarni"/>
    <n v="9540"/>
    <s v="Pen Box"/>
    <s v="Stationery"/>
  </r>
  <r>
    <s v="ORD-2263"/>
    <x v="94"/>
    <x v="3"/>
    <s v="P110"/>
    <n v="44"/>
    <n v="180"/>
    <s v="Divya Nair"/>
    <n v="7920"/>
    <s v="Pen Box"/>
    <s v="Stationery"/>
  </r>
  <r>
    <s v="ORD-2264"/>
    <x v="94"/>
    <x v="1"/>
    <s v="P105"/>
    <n v="20"/>
    <n v="1200"/>
    <s v="Neha Verma"/>
    <n v="24000"/>
    <s v="Keyboard"/>
    <s v="Accessories"/>
  </r>
  <r>
    <s v="ORD-2265"/>
    <x v="94"/>
    <x v="1"/>
    <s v="P109"/>
    <n v="46"/>
    <n v="320"/>
    <s v="Amit Sharma"/>
    <n v="14720"/>
    <s v="Notebook Pack"/>
    <s v="Stationery"/>
  </r>
  <r>
    <s v="ORD-2266"/>
    <x v="94"/>
    <x v="2"/>
    <s v="P104"/>
    <n v="4"/>
    <n v="650"/>
    <s v="Rohan Patil"/>
    <n v="2600"/>
    <s v="Wireless Mouse"/>
    <s v="Accessories"/>
  </r>
  <r>
    <s v="ORD-2267"/>
    <x v="95"/>
    <x v="2"/>
    <s v="P104"/>
    <n v="14"/>
    <n v="650"/>
    <s v="Pooja Desai"/>
    <n v="9100"/>
    <s v="Wireless Mouse"/>
    <s v="Accessories"/>
  </r>
  <r>
    <s v="ORD-2268"/>
    <x v="95"/>
    <x v="0"/>
    <s v="P103"/>
    <n v="4"/>
    <n v="9500"/>
    <s v="Arnab Ghosh"/>
    <n v="38000"/>
    <s v="Printer"/>
    <s v="Electronics"/>
  </r>
  <r>
    <s v="ORD-2269"/>
    <x v="96"/>
    <x v="1"/>
    <s v="P110"/>
    <n v="38"/>
    <n v="180"/>
    <s v="Amit Sharma"/>
    <n v="6840"/>
    <s v="Pen Box"/>
    <s v="Stationery"/>
  </r>
  <r>
    <s v="ORD-2270"/>
    <x v="96"/>
    <x v="3"/>
    <s v="P107"/>
    <n v="3"/>
    <n v="7500"/>
    <s v="Divya Nair"/>
    <n v="22500"/>
    <s v="Office Chair"/>
    <s v="Furniture"/>
  </r>
  <r>
    <s v="ORD-2271"/>
    <x v="96"/>
    <x v="1"/>
    <s v="P107"/>
    <n v="1"/>
    <n v="7500"/>
    <s v="Vikas Jadhav"/>
    <n v="7500"/>
    <s v="Office Chair"/>
    <s v="Furniture"/>
  </r>
  <r>
    <s v="ORD-2272"/>
    <x v="96"/>
    <x v="1"/>
    <s v="P108"/>
    <n v="3"/>
    <n v="9800"/>
    <s v="Amit Sharma"/>
    <n v="29400"/>
    <s v="Study Desk"/>
    <s v="Furniture"/>
  </r>
  <r>
    <s v="ORD-2273"/>
    <x v="97"/>
    <x v="0"/>
    <s v="P107"/>
    <n v="4"/>
    <n v="7500"/>
    <s v="Subhash Das"/>
    <n v="30000"/>
    <s v="Office Chair"/>
    <s v="Furniture"/>
  </r>
  <r>
    <s v="ORD-2274"/>
    <x v="98"/>
    <x v="2"/>
    <s v="P101"/>
    <n v="3"/>
    <n v="45000"/>
    <s v="Pooja Desai"/>
    <n v="135000"/>
    <s v="Laptop"/>
    <s v="Electronics"/>
  </r>
  <r>
    <s v="ORD-2275"/>
    <x v="98"/>
    <x v="3"/>
    <s v="P106"/>
    <n v="13"/>
    <n v="2200"/>
    <s v="Divya Nair"/>
    <n v="28600"/>
    <s v="Headphones"/>
    <s v="Accessories"/>
  </r>
  <r>
    <s v="ORD-2276"/>
    <x v="98"/>
    <x v="3"/>
    <s v="P111"/>
    <n v="69"/>
    <n v="320"/>
    <s v="Suresh Reddy"/>
    <n v="22080"/>
    <s v="Not Found"/>
    <s v="Not Found"/>
  </r>
  <r>
    <s v="ORD-2277"/>
    <x v="99"/>
    <x v="3"/>
    <s v="P108"/>
    <n v="5"/>
    <n v="9800"/>
    <s v="Karthik Iyer"/>
    <n v="49000"/>
    <s v="Study Desk"/>
    <s v="Furniture"/>
  </r>
  <r>
    <s v="ORD-2278"/>
    <x v="99"/>
    <x v="3"/>
    <s v="P108"/>
    <n v="1"/>
    <n v="9800"/>
    <s v="Karthik Iyer"/>
    <n v="9800"/>
    <s v="Study Desk"/>
    <s v="Furniture"/>
  </r>
  <r>
    <s v="ORD-2279"/>
    <x v="100"/>
    <x v="1"/>
    <s v="P110"/>
    <n v="35"/>
    <n v="180"/>
    <s v="Neha Verma"/>
    <n v="6300"/>
    <s v="Pen Box"/>
    <s v="Stationery"/>
  </r>
  <r>
    <s v="ORD-2280"/>
    <x v="100"/>
    <x v="2"/>
    <s v="P104"/>
    <n v="15"/>
    <n v="650"/>
    <s v="Rohan Patil"/>
    <n v="9750"/>
    <s v="Wireless Mouse"/>
    <s v="Accessories"/>
  </r>
  <r>
    <s v="ORD-2281"/>
    <x v="100"/>
    <x v="3"/>
    <s v="P109"/>
    <n v="28"/>
    <n v="320"/>
    <s v="Suresh Reddy"/>
    <n v="8960"/>
    <s v="Notebook Pack"/>
    <s v="Stationery"/>
  </r>
  <r>
    <s v="ORD-2282"/>
    <x v="100"/>
    <x v="0"/>
    <s v="P102"/>
    <n v="1"/>
    <n v="12000"/>
    <s v="Arnab Ghosh"/>
    <n v="12000"/>
    <s v="Monitor"/>
    <s v="Electronics"/>
  </r>
  <r>
    <s v="ORD-2283"/>
    <x v="101"/>
    <x v="2"/>
    <s v="P110"/>
    <n v="23"/>
    <n v="180"/>
    <s v="Pooja Desai"/>
    <n v="4140"/>
    <s v="Pen Box"/>
    <s v="Stationery"/>
  </r>
  <r>
    <s v="ORD-2284"/>
    <x v="101"/>
    <x v="2"/>
    <s v="P107"/>
    <n v="5"/>
    <n v="7500"/>
    <s v="Pooja Desai"/>
    <n v="37500"/>
    <s v="Office Chair"/>
    <s v="Furniture"/>
  </r>
  <r>
    <s v="ORD-2285"/>
    <x v="101"/>
    <x v="1"/>
    <s v="P110"/>
    <n v="67"/>
    <n v="180"/>
    <s v="Vikas Jadhav"/>
    <n v="12060"/>
    <s v="Pen Box"/>
    <s v="Stationery"/>
  </r>
  <r>
    <s v="ORD-2286"/>
    <x v="101"/>
    <x v="1"/>
    <s v="P109"/>
    <n v="57"/>
    <n v="320"/>
    <s v="Vikas Jadhav"/>
    <n v="18240"/>
    <s v="Notebook Pack"/>
    <s v="Stationery"/>
  </r>
  <r>
    <s v="ORD-2287"/>
    <x v="102"/>
    <x v="1"/>
    <s v="P106"/>
    <n v="7"/>
    <n v="2200"/>
    <s v="Amit Sharma"/>
    <n v="15400"/>
    <s v="Headphones"/>
    <s v="Accessories"/>
  </r>
  <r>
    <s v="ORD-2288"/>
    <x v="103"/>
    <x v="2"/>
    <s v="P109"/>
    <n v="51"/>
    <n v="320"/>
    <s v="Rohan Patil"/>
    <n v="16320"/>
    <s v="Notebook Pack"/>
    <s v="Stationery"/>
  </r>
  <r>
    <s v="ORD-2289"/>
    <x v="103"/>
    <x v="3"/>
    <s v="P104"/>
    <n v="14"/>
    <n v="650"/>
    <s v="Karthik Iyer"/>
    <n v="9100"/>
    <s v="Wireless Mouse"/>
    <s v="Accessories"/>
  </r>
  <r>
    <s v="ORD-2290"/>
    <x v="103"/>
    <x v="1"/>
    <s v="P105"/>
    <n v="10"/>
    <n v="1200"/>
    <s v="Amit Sharma"/>
    <n v="12000"/>
    <s v="Keyboard"/>
    <s v="Accessories"/>
  </r>
  <r>
    <s v="ORD-2291"/>
    <x v="104"/>
    <x v="3"/>
    <s v="P106"/>
    <n v="19"/>
    <n v="2200"/>
    <s v="Divya Nair"/>
    <n v="41800"/>
    <s v="Headphones"/>
    <s v="Accessories"/>
  </r>
  <r>
    <s v="ORD-2292"/>
    <x v="104"/>
    <x v="2"/>
    <s v="P102"/>
    <n v="4"/>
    <n v="12000"/>
    <s v="Rohan Patil"/>
    <n v="48000"/>
    <s v="Monitor"/>
    <s v="Electronics"/>
  </r>
  <r>
    <s v="ORD-2293"/>
    <x v="104"/>
    <x v="0"/>
    <s v="P105"/>
    <n v="12"/>
    <n v="1200"/>
    <s v="Arnab Ghosh"/>
    <n v="14400"/>
    <s v="Keyboard"/>
    <s v="Accessories"/>
  </r>
  <r>
    <s v="ORD-2294"/>
    <x v="104"/>
    <x v="3"/>
    <s v="P110"/>
    <n v="77"/>
    <n v="180"/>
    <s v="Divya Nair"/>
    <n v="13860"/>
    <s v="Pen Box"/>
    <s v="Stationery"/>
  </r>
  <r>
    <s v="ORD-2295"/>
    <x v="104"/>
    <x v="3"/>
    <s v="P108"/>
    <n v="3"/>
    <n v="9800"/>
    <s v="Karthik Iyer"/>
    <n v="29400"/>
    <s v="Study Desk"/>
    <s v="Furniture"/>
  </r>
  <r>
    <s v="ORD-2296"/>
    <x v="105"/>
    <x v="2"/>
    <s v="P102"/>
    <n v="3"/>
    <n v="12000"/>
    <s v="Sneha Kulkarni"/>
    <n v="36000"/>
    <s v="Monitor"/>
    <s v="Electronics"/>
  </r>
  <r>
    <s v="ORD-2297"/>
    <x v="105"/>
    <x v="2"/>
    <s v="P106"/>
    <n v="17"/>
    <n v="2200"/>
    <s v="Pooja Desai"/>
    <n v="37400"/>
    <s v="Headphones"/>
    <s v="Accessories"/>
  </r>
  <r>
    <s v="ORD-2298"/>
    <x v="106"/>
    <x v="0"/>
    <s v="P109"/>
    <n v="50"/>
    <n v="320"/>
    <s v="Riya Sen"/>
    <n v="16000"/>
    <s v="Notebook Pack"/>
    <s v="Stationery"/>
  </r>
  <r>
    <s v="ORD-2299"/>
    <x v="106"/>
    <x v="1"/>
    <s v="P105"/>
    <n v="6"/>
    <n v="1200"/>
    <s v="Vikas Jadhav"/>
    <n v="7200"/>
    <s v="Keyboard"/>
    <s v="Accessories"/>
  </r>
  <r>
    <s v="ORD-2300"/>
    <x v="106"/>
    <x v="1"/>
    <s v="P107"/>
    <n v="3"/>
    <n v="7500"/>
    <s v="Vikas Jadhav"/>
    <n v="22500"/>
    <s v="Office Chair"/>
    <s v="Furniture"/>
  </r>
  <r>
    <s v="ORD-2301"/>
    <x v="106"/>
    <x v="2"/>
    <s v="P105"/>
    <n v="11"/>
    <n v="1200"/>
    <s v="Sneha Kulkarni"/>
    <n v="13200"/>
    <s v="Keyboard"/>
    <s v="Accessories"/>
  </r>
  <r>
    <s v="ORD-2302"/>
    <x v="107"/>
    <x v="1"/>
    <s v="P105"/>
    <n v="20"/>
    <n v="1200"/>
    <s v="Amit Sharma"/>
    <n v="24000"/>
    <s v="Keyboard"/>
    <s v="Accessories"/>
  </r>
  <r>
    <s v="ORD-2303"/>
    <x v="107"/>
    <x v="2"/>
    <s v="P101"/>
    <n v="4"/>
    <n v="45000"/>
    <s v="Rohan Patil"/>
    <n v="180000"/>
    <s v="Laptop"/>
    <s v="Electronics"/>
  </r>
  <r>
    <s v="ORD-2304"/>
    <x v="107"/>
    <x v="0"/>
    <s v="P109"/>
    <n v="46"/>
    <n v="320"/>
    <s v="Riya Sen"/>
    <n v="14720"/>
    <s v="Notebook Pack"/>
    <s v="Stationery"/>
  </r>
  <r>
    <s v="ORD-2305"/>
    <x v="107"/>
    <x v="1"/>
    <s v="P105"/>
    <n v="17"/>
    <n v="1200"/>
    <s v="Vikas Jadhav"/>
    <n v="20400"/>
    <s v="Keyboard"/>
    <s v="Accessories"/>
  </r>
  <r>
    <s v="ORD-2306"/>
    <x v="108"/>
    <x v="2"/>
    <s v="P108"/>
    <n v="1"/>
    <n v="9800"/>
    <s v="Sneha Kulkarni"/>
    <n v="9800"/>
    <s v="Study Desk"/>
    <s v="Furniture"/>
  </r>
  <r>
    <s v="ORD-2307"/>
    <x v="109"/>
    <x v="0"/>
    <s v="P105"/>
    <n v="19"/>
    <n v="1200"/>
    <s v="Arnab Ghosh"/>
    <n v="22800"/>
    <s v="Keyboard"/>
    <s v="Accessories"/>
  </r>
  <r>
    <s v="ORD-2309"/>
    <x v="109"/>
    <x v="1"/>
    <s v="P101"/>
    <n v="1"/>
    <n v="45000"/>
    <s v="Vikas Jadhav"/>
    <n v="45000"/>
    <s v="Laptop"/>
    <s v="Electronics"/>
  </r>
  <r>
    <s v="ORD-2310"/>
    <x v="110"/>
    <x v="1"/>
    <s v="P106"/>
    <n v="10"/>
    <n v="2200"/>
    <s v="Neha Verma"/>
    <n v="22000"/>
    <s v="Headphones"/>
    <s v="Accessories"/>
  </r>
  <r>
    <s v="ORD-2311"/>
    <x v="110"/>
    <x v="0"/>
    <s v="P105"/>
    <n v="18"/>
    <n v="1200"/>
    <s v="Riya Sen"/>
    <n v="21600"/>
    <s v="Keyboard"/>
    <s v="Accessories"/>
  </r>
  <r>
    <s v="ORD-2312"/>
    <x v="110"/>
    <x v="3"/>
    <s v="P108"/>
    <n v="4"/>
    <n v="9800"/>
    <s v="Suresh Reddy"/>
    <n v="39200"/>
    <s v="Study Desk"/>
    <s v="Furniture"/>
  </r>
  <r>
    <s v="ORD-2313"/>
    <x v="111"/>
    <x v="1"/>
    <s v="P109"/>
    <n v="76"/>
    <n v="320"/>
    <s v="Vikas Jadhav"/>
    <n v="24320"/>
    <s v="Notebook Pack"/>
    <s v="Stationery"/>
  </r>
  <r>
    <s v="ORD-2314"/>
    <x v="112"/>
    <x v="2"/>
    <s v="P106"/>
    <n v="11"/>
    <n v="2200"/>
    <s v="Pooja Desai"/>
    <n v="24200"/>
    <s v="Headphones"/>
    <s v="Accessories"/>
  </r>
  <r>
    <s v="ORD-2315"/>
    <x v="112"/>
    <x v="2"/>
    <s v="P107"/>
    <n v="6"/>
    <n v="7500"/>
    <s v="Rohan Patil"/>
    <n v="45000"/>
    <s v="Office Chair"/>
    <s v="Furniture"/>
  </r>
  <r>
    <s v="ORD-2316"/>
    <x v="112"/>
    <x v="1"/>
    <s v="P104"/>
    <n v="16"/>
    <n v="650"/>
    <s v="Vikas Jadhav"/>
    <n v="10400"/>
    <s v="Wireless Mouse"/>
    <s v="Accessories"/>
  </r>
  <r>
    <s v="ORD-2317"/>
    <x v="112"/>
    <x v="0"/>
    <s v="P110"/>
    <n v="21"/>
    <n v="180"/>
    <s v="Arnab Ghosh"/>
    <n v="3780"/>
    <s v="Pen Box"/>
    <s v="Stationery"/>
  </r>
  <r>
    <s v="ORD-2318"/>
    <x v="112"/>
    <x v="2"/>
    <s v="P110"/>
    <n v="23"/>
    <n v="180"/>
    <s v="Pooja Desai"/>
    <n v="4140"/>
    <s v="Pen Box"/>
    <s v="Stationery"/>
  </r>
  <r>
    <s v="ORD-2319"/>
    <x v="113"/>
    <x v="2"/>
    <s v="P106"/>
    <n v="15"/>
    <n v="2200"/>
    <s v="Rohan Patil"/>
    <n v="33000"/>
    <s v="Headphones"/>
    <s v="Accessories"/>
  </r>
  <r>
    <s v="ORD-2320"/>
    <x v="114"/>
    <x v="1"/>
    <s v="P106"/>
    <n v="19"/>
    <n v="2200"/>
    <s v="Neha Verma"/>
    <n v="41800"/>
    <s v="Headphones"/>
    <s v="Accessories"/>
  </r>
  <r>
    <s v="ORD-2321"/>
    <x v="115"/>
    <x v="0"/>
    <s v="P106"/>
    <n v="5"/>
    <n v="2200"/>
    <s v="Subhash Das"/>
    <n v="11000"/>
    <s v="Headphones"/>
    <s v="Accessories"/>
  </r>
  <r>
    <s v="ORD-2322"/>
    <x v="115"/>
    <x v="2"/>
    <s v="P103"/>
    <n v="2"/>
    <n v="9500"/>
    <s v="Pooja Desai"/>
    <n v="19000"/>
    <s v="Printer"/>
    <s v="Electronics"/>
  </r>
  <r>
    <s v="ORD-2323"/>
    <x v="115"/>
    <x v="1"/>
    <s v="P107"/>
    <n v="6"/>
    <n v="7500"/>
    <s v="Neha Verma"/>
    <n v="45000"/>
    <s v="Office Chair"/>
    <s v="Furniture"/>
  </r>
  <r>
    <s v="ORD-2324"/>
    <x v="115"/>
    <x v="3"/>
    <s v="P110"/>
    <n v="58"/>
    <n v="180"/>
    <s v="Suresh Reddy"/>
    <n v="10440"/>
    <s v="Pen Box"/>
    <s v="Stationery"/>
  </r>
  <r>
    <s v="ORD-2325"/>
    <x v="115"/>
    <x v="3"/>
    <s v="P108"/>
    <n v="5"/>
    <n v="9800"/>
    <s v="Karthik Iyer"/>
    <n v="49000"/>
    <s v="Study Desk"/>
    <s v="Furniture"/>
  </r>
  <r>
    <s v="ORD-2326"/>
    <x v="116"/>
    <x v="3"/>
    <s v="P101"/>
    <n v="1"/>
    <n v="45000"/>
    <s v="Karthik Iyer"/>
    <n v="45000"/>
    <s v="Laptop"/>
    <s v="Electronics"/>
  </r>
  <r>
    <s v="ORD-2327"/>
    <x v="116"/>
    <x v="2"/>
    <s v="P109"/>
    <n v="54"/>
    <n v="320"/>
    <s v="Pooja Desai"/>
    <n v="17280"/>
    <s v="Notebook Pack"/>
    <s v="Stationery"/>
  </r>
  <r>
    <s v="ORD-2328"/>
    <x v="116"/>
    <x v="1"/>
    <s v="P110"/>
    <n v="74"/>
    <n v="180"/>
    <s v="Vikas Jadhav"/>
    <n v="13320"/>
    <s v="Pen Box"/>
    <s v="Stationery"/>
  </r>
  <r>
    <s v="ORD-2329"/>
    <x v="117"/>
    <x v="1"/>
    <s v="P109"/>
    <n v="14"/>
    <n v="320"/>
    <s v="Neha Verma"/>
    <n v="4480"/>
    <s v="Notebook Pack"/>
    <s v="Stationery"/>
  </r>
  <r>
    <s v="ORD-2330"/>
    <x v="117"/>
    <x v="0"/>
    <s v="P109"/>
    <n v="17"/>
    <n v="320"/>
    <s v="Subhash Das"/>
    <n v="5440"/>
    <s v="Notebook Pack"/>
    <s v="Stationery"/>
  </r>
  <r>
    <s v="ORD-2331"/>
    <x v="117"/>
    <x v="2"/>
    <s v="P101"/>
    <n v="2"/>
    <n v="45000"/>
    <s v="Sneha Kulkarni"/>
    <n v="90000"/>
    <s v="Laptop"/>
    <s v="Electronics"/>
  </r>
  <r>
    <s v="ORD-2332"/>
    <x v="117"/>
    <x v="2"/>
    <s v="P105"/>
    <n v="3"/>
    <n v="1200"/>
    <s v="Pooja Desai"/>
    <n v="3600"/>
    <s v="Keyboard"/>
    <s v="Accessories"/>
  </r>
  <r>
    <s v="ORD-2333"/>
    <x v="118"/>
    <x v="0"/>
    <s v="P103"/>
    <n v="1"/>
    <n v="9500"/>
    <s v="Riya Sen"/>
    <n v="9500"/>
    <s v="Printer"/>
    <s v="Electronics"/>
  </r>
  <r>
    <s v="ORD-2334"/>
    <x v="118"/>
    <x v="0"/>
    <s v="P106"/>
    <n v="6"/>
    <n v="2200"/>
    <s v="Subhash Das"/>
    <n v="13200"/>
    <s v="Headphones"/>
    <s v="Accessories"/>
  </r>
  <r>
    <s v="ORD-2335"/>
    <x v="119"/>
    <x v="1"/>
    <s v="P104"/>
    <n v="9"/>
    <n v="650"/>
    <s v="Neha Verma"/>
    <n v="5850"/>
    <s v="Wireless Mouse"/>
    <s v="Accessories"/>
  </r>
  <r>
    <s v="ORD-2336"/>
    <x v="119"/>
    <x v="0"/>
    <s v="P107"/>
    <n v="5"/>
    <n v="7500"/>
    <s v="Subhash Das"/>
    <n v="37500"/>
    <s v="Office Chair"/>
    <s v="Furniture"/>
  </r>
  <r>
    <s v="ORD-2337"/>
    <x v="119"/>
    <x v="2"/>
    <s v="P109"/>
    <n v="65"/>
    <n v="320"/>
    <s v="Sneha Kulkarni"/>
    <n v="20800"/>
    <s v="Notebook Pack"/>
    <s v="Stationery"/>
  </r>
  <r>
    <s v="ORD-2338"/>
    <x v="120"/>
    <x v="3"/>
    <s v="P102"/>
    <n v="1"/>
    <n v="12000"/>
    <s v="Divya Nair"/>
    <n v="12000"/>
    <s v="Monitor"/>
    <s v="Electronics"/>
  </r>
  <r>
    <s v="ORD-2339"/>
    <x v="121"/>
    <x v="2"/>
    <s v="P110"/>
    <n v="79"/>
    <n v="180"/>
    <s v="Pooja Desai"/>
    <n v="14220"/>
    <s v="Pen Box"/>
    <s v="Stationery"/>
  </r>
  <r>
    <s v="ORD-2340"/>
    <x v="121"/>
    <x v="3"/>
    <s v="P110"/>
    <n v="77"/>
    <n v="180"/>
    <s v="Divya Nair"/>
    <n v="13860"/>
    <s v="Pen Box"/>
    <s v="Stationery"/>
  </r>
  <r>
    <s v="ORD-2341"/>
    <x v="121"/>
    <x v="0"/>
    <s v="P110"/>
    <n v="42"/>
    <n v="180"/>
    <s v="Arnab Ghosh"/>
    <n v="7560"/>
    <s v="Pen Box"/>
    <s v="Stationery"/>
  </r>
  <r>
    <s v="ORD-2342"/>
    <x v="121"/>
    <x v="0"/>
    <s v="P104"/>
    <n v="15"/>
    <n v="650"/>
    <s v="Arnab Ghosh"/>
    <n v="9750"/>
    <s v="Wireless Mouse"/>
    <s v="Accessories"/>
  </r>
  <r>
    <s v="ORD-2343"/>
    <x v="121"/>
    <x v="3"/>
    <s v="P106"/>
    <n v="19"/>
    <n v="2200"/>
    <s v="Divya Nair"/>
    <n v="41800"/>
    <s v="Headphones"/>
    <s v="Accessories"/>
  </r>
  <r>
    <s v="ORD-2344"/>
    <x v="121"/>
    <x v="3"/>
    <s v="P105"/>
    <n v="5"/>
    <n v="1200"/>
    <s v="Unknown"/>
    <n v="6000"/>
    <s v="Keyboard"/>
    <s v="Accessories"/>
  </r>
  <r>
    <s v="ORD-2345"/>
    <x v="121"/>
    <x v="2"/>
    <s v="P101"/>
    <n v="3"/>
    <n v="45000"/>
    <s v="Sneha Kulkarni"/>
    <n v="135000"/>
    <s v="Laptop"/>
    <s v="Electronics"/>
  </r>
  <r>
    <s v="ORD-2346"/>
    <x v="121"/>
    <x v="3"/>
    <s v="P107"/>
    <n v="3"/>
    <n v="7500"/>
    <s v="Karthik Iyer"/>
    <n v="22500"/>
    <s v="Office Chair"/>
    <s v="Furniture"/>
  </r>
  <r>
    <s v="ORD-2347"/>
    <x v="122"/>
    <x v="3"/>
    <s v="P109"/>
    <n v="40"/>
    <n v="320"/>
    <s v="Karthik Iyer"/>
    <n v="12800"/>
    <s v="Notebook Pack"/>
    <s v="Stationery"/>
  </r>
  <r>
    <s v="ORD-2348"/>
    <x v="122"/>
    <x v="0"/>
    <s v="P109"/>
    <n v="42"/>
    <n v="320"/>
    <s v="Arnab Ghosh"/>
    <n v="13440"/>
    <s v="Notebook Pack"/>
    <s v="Stationery"/>
  </r>
  <r>
    <s v="ORD-2349"/>
    <x v="122"/>
    <x v="3"/>
    <s v="P107"/>
    <n v="3"/>
    <n v="7500"/>
    <s v="Unknown"/>
    <n v="22500"/>
    <s v="Office Chair"/>
    <s v="Furniture"/>
  </r>
  <r>
    <s v="ORD-2350"/>
    <x v="122"/>
    <x v="2"/>
    <s v="P107"/>
    <n v="4"/>
    <n v="7500"/>
    <s v="Pooja Desai"/>
    <n v="30000"/>
    <s v="Office Chair"/>
    <s v="Furniture"/>
  </r>
  <r>
    <s v="ORD-2351"/>
    <x v="123"/>
    <x v="1"/>
    <s v="P105"/>
    <n v="20"/>
    <n v="1200"/>
    <s v="Neha Verma"/>
    <n v="24000"/>
    <s v="Keyboard"/>
    <s v="Accessories"/>
  </r>
  <r>
    <s v="ORD-2352"/>
    <x v="123"/>
    <x v="2"/>
    <s v="P108"/>
    <n v="4"/>
    <n v="9800"/>
    <s v="Pooja Desai"/>
    <n v="39200"/>
    <s v="Study Desk"/>
    <s v="Furniture"/>
  </r>
  <r>
    <s v="ORD-2353"/>
    <x v="123"/>
    <x v="3"/>
    <s v="P106"/>
    <n v="20"/>
    <n v="2200"/>
    <s v="Karthik Iyer"/>
    <n v="44000"/>
    <s v="Headphones"/>
    <s v="Accessories"/>
  </r>
  <r>
    <s v="ORD-2354"/>
    <x v="124"/>
    <x v="2"/>
    <s v="P101"/>
    <n v="5"/>
    <n v="45000"/>
    <s v="Sneha Kulkarni"/>
    <n v="225000"/>
    <s v="Laptop"/>
    <s v="Electronics"/>
  </r>
  <r>
    <s v="ORD-2355"/>
    <x v="125"/>
    <x v="1"/>
    <s v="P101"/>
    <n v="4"/>
    <n v="45000"/>
    <s v="Amit Sharma"/>
    <n v="180000"/>
    <s v="Laptop"/>
    <s v="Electronics"/>
  </r>
  <r>
    <s v="ORD-2356"/>
    <x v="126"/>
    <x v="3"/>
    <s v="P105"/>
    <n v="11"/>
    <n v="1200"/>
    <s v="Suresh Reddy"/>
    <n v="13200"/>
    <s v="Keyboard"/>
    <s v="Accessories"/>
  </r>
  <r>
    <s v="ORD-2357"/>
    <x v="126"/>
    <x v="1"/>
    <s v="P105"/>
    <n v="9"/>
    <n v="1200"/>
    <s v="Neha Verma"/>
    <n v="10800"/>
    <s v="Keyboard"/>
    <s v="Accessories"/>
  </r>
  <r>
    <s v="ORD-2358"/>
    <x v="127"/>
    <x v="1"/>
    <s v="P104"/>
    <n v="12"/>
    <n v="650"/>
    <s v="Neha Verma"/>
    <n v="7800"/>
    <s v="Wireless Mouse"/>
    <s v="Accessories"/>
  </r>
  <r>
    <s v="ORD-2359"/>
    <x v="128"/>
    <x v="1"/>
    <s v="P104"/>
    <n v="14"/>
    <n v="650"/>
    <s v="Neha Verma"/>
    <n v="9100"/>
    <s v="Wireless Mouse"/>
    <s v="Accessories"/>
  </r>
  <r>
    <s v="ORD-2360"/>
    <x v="128"/>
    <x v="3"/>
    <s v="P102"/>
    <n v="5"/>
    <n v="12000"/>
    <s v="Unknown"/>
    <n v="60000"/>
    <s v="Monitor"/>
    <s v="Electronics"/>
  </r>
  <r>
    <s v="ORD-2361"/>
    <x v="128"/>
    <x v="3"/>
    <s v="P109"/>
    <n v="64"/>
    <n v="320"/>
    <s v="Divya Nair"/>
    <n v="20480"/>
    <s v="Notebook Pack"/>
    <s v="Stationery"/>
  </r>
  <r>
    <s v="ORD-2362"/>
    <x v="129"/>
    <x v="3"/>
    <s v="P103"/>
    <n v="2"/>
    <n v="9500"/>
    <s v="Divya Nair"/>
    <n v="19000"/>
    <s v="Printer"/>
    <s v="Electronics"/>
  </r>
  <r>
    <s v="ORD-2363"/>
    <x v="129"/>
    <x v="2"/>
    <s v="P104"/>
    <n v="16"/>
    <n v="650"/>
    <s v="Pooja Desai"/>
    <n v="10400"/>
    <s v="Wireless Mouse"/>
    <s v="Accessories"/>
  </r>
  <r>
    <s v="ORD-2364"/>
    <x v="129"/>
    <x v="3"/>
    <s v="P104"/>
    <n v="6"/>
    <n v="650"/>
    <s v="Suresh Reddy"/>
    <n v="3900"/>
    <s v="Wireless Mouse"/>
    <s v="Accessories"/>
  </r>
  <r>
    <s v="ORD-2365"/>
    <x v="129"/>
    <x v="2"/>
    <s v="P105"/>
    <n v="11"/>
    <n v="1200"/>
    <s v="Pooja Desai"/>
    <n v="13200"/>
    <s v="Keyboard"/>
    <s v="Accessories"/>
  </r>
  <r>
    <s v="ORD-2366"/>
    <x v="130"/>
    <x v="2"/>
    <s v="P109"/>
    <n v="30"/>
    <n v="320"/>
    <s v="Rohan Patil"/>
    <n v="9600"/>
    <s v="Notebook Pack"/>
    <s v="Stationery"/>
  </r>
  <r>
    <s v="ORD-2367"/>
    <x v="130"/>
    <x v="0"/>
    <s v="P105"/>
    <n v="2"/>
    <n v="1200"/>
    <s v="Riya Sen"/>
    <n v="2400"/>
    <s v="Keyboard"/>
    <s v="Accessories"/>
  </r>
  <r>
    <s v="ORD-2368"/>
    <x v="130"/>
    <x v="0"/>
    <s v="P104"/>
    <n v="6"/>
    <n v="650"/>
    <s v="Riya Sen"/>
    <n v="3900"/>
    <s v="Wireless Mouse"/>
    <s v="Accessories"/>
  </r>
  <r>
    <s v="ORD-2369"/>
    <x v="131"/>
    <x v="1"/>
    <s v="P109"/>
    <n v="74"/>
    <n v="320"/>
    <s v="Vikas Jadhav"/>
    <n v="23680"/>
    <s v="Notebook Pack"/>
    <s v="Stationery"/>
  </r>
  <r>
    <s v="ORD-2370"/>
    <x v="131"/>
    <x v="1"/>
    <s v="P103"/>
    <n v="4"/>
    <n v="9500"/>
    <s v="Amit Sharma"/>
    <n v="38000"/>
    <s v="Printer"/>
    <s v="Electronics"/>
  </r>
  <r>
    <s v="ORD-2371"/>
    <x v="131"/>
    <x v="1"/>
    <s v="P105"/>
    <n v="16"/>
    <n v="1200"/>
    <s v="Vikas Jadhav"/>
    <n v="19200"/>
    <s v="Keyboard"/>
    <s v="Accessories"/>
  </r>
  <r>
    <s v="ORD-2372"/>
    <x v="131"/>
    <x v="3"/>
    <s v="P110"/>
    <n v="18"/>
    <n v="180"/>
    <s v="Karthik Iyer"/>
    <n v="3240"/>
    <s v="Pen Box"/>
    <s v="Stationery"/>
  </r>
  <r>
    <s v="ORD-2373"/>
    <x v="132"/>
    <x v="1"/>
    <s v="P105"/>
    <n v="12"/>
    <n v="1200"/>
    <s v="Vikas Jadhav"/>
    <n v="14400"/>
    <s v="Keyboard"/>
    <s v="Accessories"/>
  </r>
  <r>
    <s v="ORD-2374"/>
    <x v="132"/>
    <x v="0"/>
    <s v="P101"/>
    <n v="3"/>
    <n v="45000"/>
    <s v="Arnab Ghosh"/>
    <n v="135000"/>
    <s v="Laptop"/>
    <s v="Electronics"/>
  </r>
  <r>
    <s v="ORD-2375"/>
    <x v="132"/>
    <x v="3"/>
    <s v="P105"/>
    <n v="15"/>
    <n v="1200"/>
    <s v="Suresh Reddy"/>
    <n v="18000"/>
    <s v="Keyboard"/>
    <s v="Accessories"/>
  </r>
  <r>
    <s v="ORD-2376"/>
    <x v="133"/>
    <x v="2"/>
    <s v="P104"/>
    <n v="9"/>
    <n v="650"/>
    <s v="Rohan Patil"/>
    <n v="5850"/>
    <s v="Wireless Mouse"/>
    <s v="Accessories"/>
  </r>
  <r>
    <s v="ORD-2377"/>
    <x v="133"/>
    <x v="1"/>
    <s v="P103"/>
    <n v="1"/>
    <n v="9500"/>
    <s v="Vikas Jadhav"/>
    <n v="9500"/>
    <s v="Printer"/>
    <s v="Electronics"/>
  </r>
  <r>
    <s v="ORD-2378"/>
    <x v="133"/>
    <x v="2"/>
    <s v="P109"/>
    <n v="54"/>
    <n v="320"/>
    <s v="Rohan Patil"/>
    <n v="17280"/>
    <s v="Notebook Pack"/>
    <s v="Stationery"/>
  </r>
  <r>
    <s v="ORD-2379"/>
    <x v="133"/>
    <x v="3"/>
    <s v="P109"/>
    <n v="45"/>
    <n v="320"/>
    <s v="Divya Nair"/>
    <n v="14400"/>
    <s v="Notebook Pack"/>
    <s v="Stationery"/>
  </r>
  <r>
    <s v="ORD-2380"/>
    <x v="133"/>
    <x v="0"/>
    <s v="P101"/>
    <n v="1"/>
    <n v="45000"/>
    <s v="Subhash Das"/>
    <n v="45000"/>
    <s v="Laptop"/>
    <s v="Electronics"/>
  </r>
  <r>
    <s v="ORD-2381"/>
    <x v="133"/>
    <x v="2"/>
    <s v="P108"/>
    <n v="4"/>
    <n v="9800"/>
    <s v="Rohan Patil"/>
    <n v="39200"/>
    <s v="Study Desk"/>
    <s v="Furniture"/>
  </r>
  <r>
    <s v="ORD-2382"/>
    <x v="134"/>
    <x v="0"/>
    <s v="P104"/>
    <n v="14"/>
    <n v="650"/>
    <s v="Arnab Ghosh"/>
    <n v="9100"/>
    <s v="Wireless Mouse"/>
    <s v="Accessories"/>
  </r>
  <r>
    <s v="ORD-2383"/>
    <x v="134"/>
    <x v="2"/>
    <s v="P109"/>
    <n v="43"/>
    <n v="320"/>
    <s v="Rohan Patil"/>
    <n v="13760"/>
    <s v="Notebook Pack"/>
    <s v="Stationery"/>
  </r>
  <r>
    <s v="ORD-2384"/>
    <x v="135"/>
    <x v="3"/>
    <s v="P105"/>
    <n v="10"/>
    <n v="1200"/>
    <s v="Divya Nair"/>
    <n v="12000"/>
    <s v="Keyboard"/>
    <s v="Accessories"/>
  </r>
  <r>
    <s v="ORD-2385"/>
    <x v="135"/>
    <x v="0"/>
    <s v="P109"/>
    <n v="75"/>
    <n v="320"/>
    <s v="Subhash Das"/>
    <n v="24000"/>
    <s v="Notebook Pack"/>
    <s v="Stationery"/>
  </r>
  <r>
    <s v="ORD-2386"/>
    <x v="136"/>
    <x v="0"/>
    <s v="P107"/>
    <n v="3"/>
    <n v="7500"/>
    <s v="Riya Sen"/>
    <n v="22500"/>
    <s v="Office Chair"/>
    <s v="Furniture"/>
  </r>
  <r>
    <s v="ORD-2387"/>
    <x v="136"/>
    <x v="2"/>
    <s v="P104"/>
    <n v="18"/>
    <n v="650"/>
    <s v="Sneha Kulkarni"/>
    <n v="11700"/>
    <s v="Wireless Mouse"/>
    <s v="Accessories"/>
  </r>
  <r>
    <s v="ORD-2388"/>
    <x v="136"/>
    <x v="0"/>
    <s v="P106"/>
    <n v="6"/>
    <n v="2200"/>
    <s v="Arnab Ghosh"/>
    <n v="13200"/>
    <s v="Headphones"/>
    <s v="Accessories"/>
  </r>
  <r>
    <s v="ORD-2389"/>
    <x v="136"/>
    <x v="0"/>
    <s v="P101"/>
    <n v="3"/>
    <n v="45000"/>
    <s v="Arnab Ghosh"/>
    <n v="135000"/>
    <s v="Laptop"/>
    <s v="Electronics"/>
  </r>
  <r>
    <s v="ORD-2390"/>
    <x v="136"/>
    <x v="1"/>
    <s v="P110"/>
    <n v="53"/>
    <n v="180"/>
    <s v="Neha Verma"/>
    <n v="9540"/>
    <s v="Pen Box"/>
    <s v="Stationery"/>
  </r>
  <r>
    <s v="ORD-2391"/>
    <x v="137"/>
    <x v="2"/>
    <s v="P101"/>
    <n v="4"/>
    <n v="45000"/>
    <s v="Sneha Kulkarni"/>
    <n v="180000"/>
    <s v="Laptop"/>
    <s v="Electronics"/>
  </r>
  <r>
    <s v="ORD-2392"/>
    <x v="137"/>
    <x v="0"/>
    <s v="P105"/>
    <n v="20"/>
    <n v="1200"/>
    <s v="Subhash Das"/>
    <n v="24000"/>
    <s v="Keyboard"/>
    <s v="Accessories"/>
  </r>
  <r>
    <s v="ORD-2393"/>
    <x v="137"/>
    <x v="2"/>
    <s v="P109"/>
    <n v="80"/>
    <n v="320"/>
    <s v="Pooja Desai"/>
    <n v="25600"/>
    <s v="Notebook Pack"/>
    <s v="Stationery"/>
  </r>
  <r>
    <s v="ORD-2394"/>
    <x v="137"/>
    <x v="2"/>
    <s v="P105"/>
    <n v="6"/>
    <n v="1200"/>
    <s v="Pooja Desai"/>
    <n v="7200"/>
    <s v="Keyboard"/>
    <s v="Accessories"/>
  </r>
  <r>
    <s v="ORD-2395"/>
    <x v="137"/>
    <x v="3"/>
    <s v="P104"/>
    <n v="2"/>
    <n v="650"/>
    <s v="Divya Nair"/>
    <n v="1300"/>
    <s v="Wireless Mouse"/>
    <s v="Accessories"/>
  </r>
  <r>
    <s v="ORD-2396"/>
    <x v="137"/>
    <x v="0"/>
    <s v="P105"/>
    <n v="15"/>
    <n v="1200"/>
    <s v="Riya Sen"/>
    <n v="18000"/>
    <s v="Keyboard"/>
    <s v="Accessories"/>
  </r>
  <r>
    <s v="ORD-2397"/>
    <x v="137"/>
    <x v="2"/>
    <s v="P105"/>
    <n v="16"/>
    <n v="1200"/>
    <s v="Pooja Desai"/>
    <n v="19200"/>
    <s v="Keyboard"/>
    <s v="Accessories"/>
  </r>
  <r>
    <s v="ORD-2398"/>
    <x v="138"/>
    <x v="0"/>
    <s v="P110"/>
    <n v="17"/>
    <n v="180"/>
    <s v="Riya Sen"/>
    <n v="3060"/>
    <s v="Pen Box"/>
    <s v="Stationery"/>
  </r>
  <r>
    <s v="ORD-2399"/>
    <x v="138"/>
    <x v="0"/>
    <s v="P107"/>
    <n v="4"/>
    <n v="7500"/>
    <s v="Riya Sen"/>
    <n v="30000"/>
    <s v="Office Chair"/>
    <s v="Furniture"/>
  </r>
  <r>
    <s v="ORD-2400"/>
    <x v="138"/>
    <x v="2"/>
    <s v="P110"/>
    <n v="40"/>
    <n v="180"/>
    <s v="Pooja Desai"/>
    <n v="7200"/>
    <s v="Pen Box"/>
    <s v="Stationery"/>
  </r>
  <r>
    <s v="ORD-2401"/>
    <x v="138"/>
    <x v="1"/>
    <s v="P104"/>
    <n v="3"/>
    <n v="650"/>
    <s v="Vikas Jadhav"/>
    <n v="1950"/>
    <s v="Wireless Mouse"/>
    <s v="Accessories"/>
  </r>
  <r>
    <s v="ORD-2402"/>
    <x v="138"/>
    <x v="3"/>
    <s v="P110"/>
    <n v="66"/>
    <n v="180"/>
    <s v="Suresh Reddy"/>
    <n v="11880"/>
    <s v="Pen Box"/>
    <s v="Stationery"/>
  </r>
  <r>
    <s v="ORD-2404"/>
    <x v="138"/>
    <x v="1"/>
    <s v="P107"/>
    <n v="4"/>
    <n v="7500"/>
    <s v="Amit Sharma"/>
    <n v="30000"/>
    <s v="Office Chair"/>
    <s v="Furniture"/>
  </r>
  <r>
    <s v="ORD-2405"/>
    <x v="139"/>
    <x v="1"/>
    <s v="P104"/>
    <n v="20"/>
    <n v="650"/>
    <s v="Vikas Jadhav"/>
    <n v="13000"/>
    <s v="Wireless Mouse"/>
    <s v="Accessories"/>
  </r>
  <r>
    <s v="ORD-2406"/>
    <x v="139"/>
    <x v="0"/>
    <s v="P110"/>
    <n v="76"/>
    <n v="180"/>
    <s v="Riya Sen"/>
    <n v="13680"/>
    <s v="Pen Box"/>
    <s v="Stationery"/>
  </r>
  <r>
    <s v="ORD-2407"/>
    <x v="139"/>
    <x v="3"/>
    <s v="P105"/>
    <n v="3"/>
    <n v="1200"/>
    <s v="Karthik Iyer"/>
    <n v="3600"/>
    <s v="Keyboard"/>
    <s v="Accessories"/>
  </r>
  <r>
    <s v="ORD-2408"/>
    <x v="139"/>
    <x v="0"/>
    <s v="P105"/>
    <n v="14"/>
    <n v="1200"/>
    <s v="Arnab Ghosh"/>
    <n v="16800"/>
    <s v="Keyboard"/>
    <s v="Accessories"/>
  </r>
  <r>
    <s v="ORD-2409"/>
    <x v="139"/>
    <x v="2"/>
    <s v="P107"/>
    <n v="2"/>
    <n v="7500"/>
    <s v="Pooja Desai"/>
    <n v="15000"/>
    <s v="Office Chair"/>
    <s v="Furniture"/>
  </r>
  <r>
    <s v="ORD-2410"/>
    <x v="140"/>
    <x v="3"/>
    <s v="P101"/>
    <n v="5"/>
    <n v="45000"/>
    <s v="Divya Nair"/>
    <n v="225000"/>
    <s v="Laptop"/>
    <s v="Electronics"/>
  </r>
  <r>
    <s v="ORD-2411"/>
    <x v="141"/>
    <x v="3"/>
    <s v="P106"/>
    <n v="8"/>
    <n v="2200"/>
    <s v="Suresh Reddy"/>
    <n v="17600"/>
    <s v="Headphones"/>
    <s v="Accessories"/>
  </r>
  <r>
    <s v="ORD-2412"/>
    <x v="141"/>
    <x v="3"/>
    <s v="P101"/>
    <n v="3"/>
    <n v="45000"/>
    <s v="Divya Nair"/>
    <n v="135000"/>
    <s v="Laptop"/>
    <s v="Electronics"/>
  </r>
  <r>
    <s v="ORD-2413"/>
    <x v="141"/>
    <x v="3"/>
    <s v="P104"/>
    <n v="14"/>
    <n v="650"/>
    <s v="Suresh Reddy"/>
    <n v="9100"/>
    <s v="Wireless Mouse"/>
    <s v="Accessories"/>
  </r>
  <r>
    <s v="ORD-2414"/>
    <x v="141"/>
    <x v="3"/>
    <s v="P104"/>
    <n v="8"/>
    <n v="650"/>
    <s v="Suresh Reddy"/>
    <n v="5200"/>
    <s v="Wireless Mouse"/>
    <s v="Accessories"/>
  </r>
  <r>
    <s v="ORD-2415"/>
    <x v="141"/>
    <x v="2"/>
    <s v="P104"/>
    <n v="6"/>
    <n v="650"/>
    <s v="Pooja Desai"/>
    <n v="3900"/>
    <s v="Wireless Mouse"/>
    <s v="Accessories"/>
  </r>
  <r>
    <s v="ORD-2416"/>
    <x v="142"/>
    <x v="0"/>
    <s v="P105"/>
    <n v="8"/>
    <n v="1200"/>
    <s v="Arnab Ghosh"/>
    <n v="9600"/>
    <s v="Keyboard"/>
    <s v="Accessories"/>
  </r>
  <r>
    <s v="ORD-2417"/>
    <x v="142"/>
    <x v="1"/>
    <s v="P106"/>
    <n v="2"/>
    <n v="2200"/>
    <s v="Vikas Jadhav"/>
    <n v="4400"/>
    <s v="Headphones"/>
    <s v="Accessories"/>
  </r>
  <r>
    <s v="ORD-2418"/>
    <x v="143"/>
    <x v="2"/>
    <s v="P105"/>
    <n v="12"/>
    <n v="1200"/>
    <s v="Rohan Patil"/>
    <n v="14400"/>
    <s v="Keyboard"/>
    <s v="Accessories"/>
  </r>
  <r>
    <s v="ORD-2419"/>
    <x v="143"/>
    <x v="2"/>
    <s v="P102"/>
    <n v="2"/>
    <n v="12000"/>
    <s v="Pooja Desai"/>
    <n v="24000"/>
    <s v="Monitor"/>
    <s v="Electronics"/>
  </r>
  <r>
    <s v="ORD-2420"/>
    <x v="143"/>
    <x v="0"/>
    <s v="P104"/>
    <n v="5"/>
    <n v="650"/>
    <s v="Subhash Das"/>
    <n v="3250"/>
    <s v="Wireless Mouse"/>
    <s v="Accessories"/>
  </r>
  <r>
    <s v="ORD-2421"/>
    <x v="143"/>
    <x v="0"/>
    <s v="P109"/>
    <n v="30"/>
    <n v="320"/>
    <s v="Arnab Ghosh"/>
    <n v="9600"/>
    <s v="Notebook Pack"/>
    <s v="Stationery"/>
  </r>
  <r>
    <s v="ORD-2422"/>
    <x v="144"/>
    <x v="3"/>
    <s v="P102"/>
    <n v="1"/>
    <n v="12000"/>
    <s v="Karthik Iyer"/>
    <n v="12000"/>
    <s v="Monitor"/>
    <s v="Electronics"/>
  </r>
  <r>
    <s v="ORD-2423"/>
    <x v="144"/>
    <x v="1"/>
    <s v="P106"/>
    <n v="16"/>
    <n v="2200"/>
    <s v="Vikas Jadhav"/>
    <n v="35200"/>
    <s v="Headphones"/>
    <s v="Accessories"/>
  </r>
  <r>
    <s v="ORD-2425"/>
    <x v="144"/>
    <x v="2"/>
    <s v="P102"/>
    <n v="1"/>
    <n v="12000"/>
    <s v="Sneha Kulkarni"/>
    <n v="12000"/>
    <s v="Monitor"/>
    <s v="Electronics"/>
  </r>
  <r>
    <s v="ORD-2426"/>
    <x v="144"/>
    <x v="3"/>
    <s v="P109"/>
    <n v="51"/>
    <n v="320"/>
    <s v="Suresh Reddy"/>
    <n v="16320"/>
    <s v="Notebook Pack"/>
    <s v="Stationery"/>
  </r>
  <r>
    <s v="ORD-2427"/>
    <x v="145"/>
    <x v="1"/>
    <s v="P999"/>
    <n v="2"/>
    <n v="45000"/>
    <s v="Neha Verma"/>
    <n v="90000"/>
    <s v="Not Found"/>
    <s v="Not Found"/>
  </r>
  <r>
    <s v="ORD-2428"/>
    <x v="145"/>
    <x v="3"/>
    <s v="P107"/>
    <n v="1"/>
    <n v="7500"/>
    <s v="Divya Nair"/>
    <n v="7500"/>
    <s v="Office Chair"/>
    <s v="Furniture"/>
  </r>
  <r>
    <s v="ORD-2429"/>
    <x v="145"/>
    <x v="3"/>
    <s v="P104"/>
    <n v="9"/>
    <n v="650"/>
    <s v="Karthik Iyer"/>
    <n v="5850"/>
    <s v="Wireless Mouse"/>
    <s v="Accessories"/>
  </r>
  <r>
    <s v="ORD-2430"/>
    <x v="145"/>
    <x v="2"/>
    <s v="P107"/>
    <n v="3"/>
    <n v="7500"/>
    <s v="Pooja Desai"/>
    <n v="22500"/>
    <s v="Office Chair"/>
    <s v="Furniture"/>
  </r>
  <r>
    <s v="ORD-2431"/>
    <x v="145"/>
    <x v="2"/>
    <s v="P105"/>
    <n v="10"/>
    <n v="1200"/>
    <s v="Pooja Desai"/>
    <n v="12000"/>
    <s v="Keyboard"/>
    <s v="Accessories"/>
  </r>
  <r>
    <s v="ORD-2432"/>
    <x v="145"/>
    <x v="1"/>
    <s v="P102"/>
    <n v="5"/>
    <n v="12000"/>
    <s v="Vikas Jadhav"/>
    <n v="60000"/>
    <s v="Monitor"/>
    <s v="Electronics"/>
  </r>
  <r>
    <s v="ORD-2433"/>
    <x v="146"/>
    <x v="0"/>
    <s v="P104"/>
    <n v="7"/>
    <n v="650"/>
    <s v="Riya Sen"/>
    <n v="4550"/>
    <s v="Wireless Mouse"/>
    <s v="Accessories"/>
  </r>
  <r>
    <s v="ORD-2434"/>
    <x v="146"/>
    <x v="2"/>
    <s v="P102"/>
    <n v="4"/>
    <n v="12000"/>
    <s v="Pooja Desai"/>
    <n v="48000"/>
    <s v="Monitor"/>
    <s v="Electronics"/>
  </r>
  <r>
    <s v="ORD-2435"/>
    <x v="147"/>
    <x v="1"/>
    <s v="P110"/>
    <n v="68"/>
    <n v="180"/>
    <s v="Neha Verma"/>
    <n v="12240"/>
    <s v="Pen Box"/>
    <s v="Stationery"/>
  </r>
  <r>
    <s v="ORD-2436"/>
    <x v="148"/>
    <x v="3"/>
    <s v="P106"/>
    <n v="17"/>
    <n v="2200"/>
    <s v="Suresh Reddy"/>
    <n v="37400"/>
    <s v="Headphones"/>
    <s v="Accessories"/>
  </r>
  <r>
    <s v="ORD-2437"/>
    <x v="148"/>
    <x v="1"/>
    <s v="P104"/>
    <n v="5"/>
    <n v="650"/>
    <s v="Neha Verma"/>
    <n v="3250"/>
    <s v="Wireless Mouse"/>
    <s v="Accessories"/>
  </r>
  <r>
    <s v="ORD-2438"/>
    <x v="148"/>
    <x v="1"/>
    <s v="P102"/>
    <n v="5"/>
    <n v="12000"/>
    <s v="Vikas Jadhav"/>
    <n v="60000"/>
    <s v="Monitor"/>
    <s v="Electronics"/>
  </r>
  <r>
    <s v="ORD-2439"/>
    <x v="148"/>
    <x v="1"/>
    <s v="P105"/>
    <n v="18"/>
    <n v="1200"/>
    <s v="Amit Sharma"/>
    <n v="21600"/>
    <s v="Keyboard"/>
    <s v="Accessories"/>
  </r>
  <r>
    <s v="ORD-2440"/>
    <x v="148"/>
    <x v="1"/>
    <s v="P101"/>
    <n v="3"/>
    <n v="45000"/>
    <s v="Vikas Jadhav"/>
    <n v="135000"/>
    <s v="Laptop"/>
    <s v="Electronics"/>
  </r>
  <r>
    <s v="ORD-2442"/>
    <x v="149"/>
    <x v="2"/>
    <s v="P104"/>
    <n v="3"/>
    <n v="650"/>
    <s v="Sneha Kulkarni"/>
    <n v="1950"/>
    <s v="Wireless Mouse"/>
    <s v="Accessories"/>
  </r>
  <r>
    <s v="ORD-2443"/>
    <x v="149"/>
    <x v="0"/>
    <s v="P101"/>
    <n v="3"/>
    <n v="45000"/>
    <s v="Arnab Ghosh"/>
    <n v="135000"/>
    <s v="Laptop"/>
    <s v="Electronics"/>
  </r>
  <r>
    <s v="ORD-2444"/>
    <x v="149"/>
    <x v="0"/>
    <s v="P109"/>
    <n v="63"/>
    <n v="320"/>
    <s v="Arnab Ghosh"/>
    <n v="20160"/>
    <s v="Notebook Pack"/>
    <s v="Stationery"/>
  </r>
  <r>
    <s v="ORD-2445"/>
    <x v="149"/>
    <x v="0"/>
    <s v="P103"/>
    <n v="4"/>
    <n v="9500"/>
    <s v="Riya Sen"/>
    <n v="38000"/>
    <s v="Printer"/>
    <s v="Electronics"/>
  </r>
  <r>
    <s v="ORD-2446"/>
    <x v="150"/>
    <x v="0"/>
    <s v="P106"/>
    <n v="6"/>
    <n v="2200"/>
    <s v="Riya Sen"/>
    <n v="13200"/>
    <s v="Headphones"/>
    <s v="Accessories"/>
  </r>
  <r>
    <s v="ORD-2447"/>
    <x v="150"/>
    <x v="2"/>
    <s v="P104"/>
    <n v="19"/>
    <n v="650"/>
    <s v="Pooja Desai"/>
    <n v="12350"/>
    <s v="Wireless Mouse"/>
    <s v="Accessories"/>
  </r>
  <r>
    <s v="ORD-2448"/>
    <x v="150"/>
    <x v="3"/>
    <s v="P107"/>
    <n v="1"/>
    <n v="7500"/>
    <s v="Karthik Iyer"/>
    <n v="7500"/>
    <s v="Office Chair"/>
    <s v="Furniture"/>
  </r>
  <r>
    <s v="ORD-2449"/>
    <x v="150"/>
    <x v="3"/>
    <s v="P106"/>
    <n v="5"/>
    <n v="2200"/>
    <s v="Suresh Reddy"/>
    <n v="11000"/>
    <s v="Headphones"/>
    <s v="Accessories"/>
  </r>
  <r>
    <s v="ORD-2450"/>
    <x v="151"/>
    <x v="3"/>
    <s v="P109"/>
    <n v="80"/>
    <n v="320"/>
    <s v="Divya Nair"/>
    <n v="25600"/>
    <s v="Notebook Pack"/>
    <s v="Stationery"/>
  </r>
  <r>
    <s v="ORD-2451"/>
    <x v="151"/>
    <x v="3"/>
    <s v="P109"/>
    <n v="17"/>
    <n v="320"/>
    <s v="Divya Nair"/>
    <n v="5440"/>
    <s v="Notebook Pack"/>
    <s v="Stationery"/>
  </r>
  <r>
    <s v="ORD-2452"/>
    <x v="151"/>
    <x v="0"/>
    <s v="P105"/>
    <n v="8"/>
    <n v="1200"/>
    <s v="Arnab Ghosh"/>
    <n v="9600"/>
    <s v="Keyboard"/>
    <s v="Accessories"/>
  </r>
  <r>
    <s v="ORD-2453"/>
    <x v="152"/>
    <x v="2"/>
    <s v="P109"/>
    <n v="30"/>
    <n v="320"/>
    <s v="Rohan Patil"/>
    <n v="9600"/>
    <s v="Notebook Pack"/>
    <s v="Stationery"/>
  </r>
  <r>
    <s v="ORD-2454"/>
    <x v="152"/>
    <x v="1"/>
    <s v="P105"/>
    <n v="17"/>
    <n v="1200"/>
    <s v="Unknown"/>
    <n v="20400"/>
    <s v="Keyboard"/>
    <s v="Accessories"/>
  </r>
  <r>
    <s v="ORD-2455"/>
    <x v="152"/>
    <x v="3"/>
    <s v="P110"/>
    <n v="51"/>
    <n v="180"/>
    <s v="Divya Nair"/>
    <n v="9180"/>
    <s v="Pen Box"/>
    <s v="Stationery"/>
  </r>
  <r>
    <s v="ORD-2456"/>
    <x v="152"/>
    <x v="0"/>
    <s v="P109"/>
    <n v="49"/>
    <n v="320"/>
    <s v="Arnab Ghosh"/>
    <n v="15680"/>
    <s v="Notebook Pack"/>
    <s v="Stationery"/>
  </r>
  <r>
    <s v="ORD-2457"/>
    <x v="153"/>
    <x v="2"/>
    <s v="P106"/>
    <n v="5"/>
    <n v="2200"/>
    <s v="Rohan Patil"/>
    <n v="11000"/>
    <s v="Headphones"/>
    <s v="Accessories"/>
  </r>
  <r>
    <s v="ORD-2458"/>
    <x v="153"/>
    <x v="2"/>
    <s v="P104"/>
    <n v="19"/>
    <n v="650"/>
    <s v="Pooja Desai"/>
    <n v="12350"/>
    <s v="Wireless Mouse"/>
    <s v="Accessories"/>
  </r>
  <r>
    <s v="ORD-2459"/>
    <x v="153"/>
    <x v="0"/>
    <s v="P106"/>
    <n v="3"/>
    <n v="2200"/>
    <s v="Riya Sen"/>
    <n v="6600"/>
    <s v="Headphones"/>
    <s v="Accessories"/>
  </r>
  <r>
    <s v="ORD-2460"/>
    <x v="153"/>
    <x v="2"/>
    <s v="P102"/>
    <n v="1"/>
    <n v="12000"/>
    <s v="Sneha Kulkarni"/>
    <n v="12000"/>
    <s v="Monitor"/>
    <s v="Electronics"/>
  </r>
  <r>
    <s v="ORD-2461"/>
    <x v="153"/>
    <x v="0"/>
    <s v="P106"/>
    <n v="20"/>
    <n v="2200"/>
    <s v="Arnab Ghosh"/>
    <n v="44000"/>
    <s v="Headphones"/>
    <s v="Accessories"/>
  </r>
  <r>
    <s v="ORD-2462"/>
    <x v="153"/>
    <x v="2"/>
    <s v="P104"/>
    <n v="7"/>
    <n v="650"/>
    <s v="Sneha Kulkarni"/>
    <n v="4550"/>
    <s v="Wireless Mouse"/>
    <s v="Accessories"/>
  </r>
  <r>
    <s v="ORD-2463"/>
    <x v="154"/>
    <x v="0"/>
    <s v="P109"/>
    <n v="17"/>
    <n v="320"/>
    <s v="Arnab Ghosh"/>
    <n v="5440"/>
    <s v="Notebook Pack"/>
    <s v="Stationery"/>
  </r>
  <r>
    <s v="ORD-2465"/>
    <x v="155"/>
    <x v="3"/>
    <s v="P104"/>
    <n v="18"/>
    <n v="650"/>
    <s v="Suresh Reddy"/>
    <n v="11700"/>
    <s v="Wireless Mouse"/>
    <s v="Accessories"/>
  </r>
  <r>
    <s v="ORD-2466"/>
    <x v="156"/>
    <x v="1"/>
    <s v="P109"/>
    <n v="64"/>
    <n v="320"/>
    <s v="Neha Verma"/>
    <n v="20480"/>
    <s v="Notebook Pack"/>
    <s v="Stationery"/>
  </r>
  <r>
    <s v="ORD-2467"/>
    <x v="156"/>
    <x v="3"/>
    <s v="P101"/>
    <n v="4"/>
    <n v="45000"/>
    <s v="Karthik Iyer"/>
    <n v="180000"/>
    <s v="Laptop"/>
    <s v="Electronics"/>
  </r>
  <r>
    <s v="ORD-2468"/>
    <x v="157"/>
    <x v="1"/>
    <s v="P109"/>
    <n v="27"/>
    <n v="320"/>
    <s v="Neha Verma"/>
    <n v="8640"/>
    <s v="Notebook Pack"/>
    <s v="Stationery"/>
  </r>
  <r>
    <s v="ORD-2469"/>
    <x v="157"/>
    <x v="3"/>
    <s v="P105"/>
    <n v="3"/>
    <n v="1200"/>
    <s v="Unknown"/>
    <n v="3600"/>
    <s v="Keyboard"/>
    <s v="Accessories"/>
  </r>
  <r>
    <s v="ORD-2470"/>
    <x v="158"/>
    <x v="2"/>
    <s v="P109"/>
    <n v="44"/>
    <n v="320"/>
    <s v="Sneha Kulkarni"/>
    <n v="14080"/>
    <s v="Notebook Pack"/>
    <s v="Stationery"/>
  </r>
  <r>
    <s v="ORD-2471"/>
    <x v="158"/>
    <x v="1"/>
    <s v="P109"/>
    <n v="10"/>
    <n v="320"/>
    <s v="Amit Sharma"/>
    <n v="3200"/>
    <s v="Notebook Pack"/>
    <s v="Stationery"/>
  </r>
  <r>
    <s v="ORD-2472"/>
    <x v="158"/>
    <x v="1"/>
    <s v="P110"/>
    <n v="14"/>
    <n v="180"/>
    <s v="Vikas Jadhav"/>
    <n v="2520"/>
    <s v="Pen Box"/>
    <s v="Stationery"/>
  </r>
  <r>
    <s v="ORD-2473"/>
    <x v="158"/>
    <x v="1"/>
    <s v="P104"/>
    <n v="8"/>
    <n v="650"/>
    <s v="Amit Sharma"/>
    <n v="5200"/>
    <s v="Wireless Mouse"/>
    <s v="Accessories"/>
  </r>
  <r>
    <s v="ORD-2474"/>
    <x v="159"/>
    <x v="0"/>
    <s v="P104"/>
    <n v="13"/>
    <n v="650"/>
    <s v="Subhash Das"/>
    <n v="8450"/>
    <s v="Wireless Mouse"/>
    <s v="Accessories"/>
  </r>
  <r>
    <s v="ORD-2475"/>
    <x v="159"/>
    <x v="2"/>
    <s v="P109"/>
    <n v="68"/>
    <n v="320"/>
    <s v="Rohan Patil"/>
    <n v="21760"/>
    <s v="Notebook Pack"/>
    <s v="Stationery"/>
  </r>
  <r>
    <s v="ORD-2476"/>
    <x v="159"/>
    <x v="3"/>
    <s v="P109"/>
    <n v="40"/>
    <n v="320"/>
    <s v="Suresh Reddy"/>
    <n v="12800"/>
    <s v="Notebook Pack"/>
    <s v="Stationery"/>
  </r>
  <r>
    <s v="ORD-2477"/>
    <x v="159"/>
    <x v="3"/>
    <s v="P106"/>
    <n v="14"/>
    <n v="2200"/>
    <s v="Karthik Iyer"/>
    <n v="30800"/>
    <s v="Headphones"/>
    <s v="Accessories"/>
  </r>
  <r>
    <s v="ORD-2478"/>
    <x v="160"/>
    <x v="3"/>
    <s v="P106"/>
    <n v="4"/>
    <n v="2200"/>
    <s v="Divya Nair"/>
    <n v="8800"/>
    <s v="Headphones"/>
    <s v="Accessories"/>
  </r>
  <r>
    <s v="ORD-2479"/>
    <x v="161"/>
    <x v="0"/>
    <s v="P109"/>
    <n v="43"/>
    <n v="320"/>
    <s v="Riya Sen"/>
    <n v="13760"/>
    <s v="Notebook Pack"/>
    <s v="Stationery"/>
  </r>
  <r>
    <s v="ORD-2480"/>
    <x v="161"/>
    <x v="1"/>
    <s v="P110"/>
    <n v="21"/>
    <n v="180"/>
    <s v="Amit Sharma"/>
    <n v="3780"/>
    <s v="Pen Box"/>
    <s v="Stationery"/>
  </r>
  <r>
    <s v="ORD-2481"/>
    <x v="161"/>
    <x v="0"/>
    <s v="P104"/>
    <n v="9"/>
    <n v="650"/>
    <s v="Arnab Ghosh"/>
    <n v="5850"/>
    <s v="Wireless Mouse"/>
    <s v="Accessories"/>
  </r>
  <r>
    <s v="ORD-2482"/>
    <x v="161"/>
    <x v="3"/>
    <s v="P109"/>
    <n v="38"/>
    <n v="320"/>
    <s v="Suresh Reddy"/>
    <n v="12160"/>
    <s v="Notebook Pack"/>
    <s v="Stationery"/>
  </r>
  <r>
    <s v="ORD-2483"/>
    <x v="161"/>
    <x v="3"/>
    <s v="P104"/>
    <n v="17"/>
    <n v="650"/>
    <s v="Divya Nair"/>
    <n v="11050"/>
    <s v="Wireless Mouse"/>
    <s v="Accessories"/>
  </r>
  <r>
    <s v="ORD-2484"/>
    <x v="162"/>
    <x v="0"/>
    <s v="P108"/>
    <n v="2"/>
    <n v="9800"/>
    <s v="Arnab Ghosh"/>
    <n v="19600"/>
    <s v="Study Desk"/>
    <s v="Furniture"/>
  </r>
  <r>
    <s v="ORD-2485"/>
    <x v="163"/>
    <x v="0"/>
    <s v="P101"/>
    <n v="3"/>
    <n v="45000"/>
    <s v="Subhash Das"/>
    <n v="135000"/>
    <s v="Laptop"/>
    <s v="Electronics"/>
  </r>
  <r>
    <s v="ORD-2486"/>
    <x v="163"/>
    <x v="3"/>
    <s v="P107"/>
    <n v="4"/>
    <n v="7500"/>
    <s v="Suresh Reddy"/>
    <n v="30000"/>
    <s v="Office Chair"/>
    <s v="Furniture"/>
  </r>
  <r>
    <s v="ORD-2487"/>
    <x v="163"/>
    <x v="3"/>
    <s v="P105"/>
    <n v="17"/>
    <n v="1200"/>
    <s v="Suresh Reddy"/>
    <n v="20400"/>
    <s v="Keyboard"/>
    <s v="Accessories"/>
  </r>
  <r>
    <s v="ORD-2488"/>
    <x v="163"/>
    <x v="3"/>
    <s v="P103"/>
    <n v="1"/>
    <n v="9500"/>
    <s v="Karthik Iyer"/>
    <n v="9500"/>
    <s v="Printer"/>
    <s v="Electronics"/>
  </r>
  <r>
    <s v="ORD-2489"/>
    <x v="164"/>
    <x v="0"/>
    <s v="P108"/>
    <n v="3"/>
    <n v="9800"/>
    <s v="Riya Sen"/>
    <n v="29400"/>
    <s v="Study Desk"/>
    <s v="Furniture"/>
  </r>
  <r>
    <s v="ORD-2490"/>
    <x v="164"/>
    <x v="2"/>
    <s v="P104"/>
    <n v="17"/>
    <n v="650"/>
    <s v="Rohan Patil"/>
    <n v="11050"/>
    <s v="Wireless Mouse"/>
    <s v="Accessories"/>
  </r>
  <r>
    <s v="ORD-2491"/>
    <x v="164"/>
    <x v="3"/>
    <s v="P105"/>
    <n v="17"/>
    <n v="1200"/>
    <s v="Karthik Iyer"/>
    <n v="20400"/>
    <s v="Keyboard"/>
    <s v="Accessories"/>
  </r>
  <r>
    <s v="ORD-2492"/>
    <x v="165"/>
    <x v="3"/>
    <s v="P109"/>
    <n v="65"/>
    <n v="320"/>
    <s v="Suresh Reddy"/>
    <n v="20800"/>
    <s v="Notebook Pack"/>
    <s v="Stationery"/>
  </r>
  <r>
    <s v="ORD-2493"/>
    <x v="166"/>
    <x v="1"/>
    <s v="P104"/>
    <n v="10"/>
    <n v="650"/>
    <s v="Vikas Jadhav"/>
    <n v="6500"/>
    <s v="Wireless Mouse"/>
    <s v="Accessories"/>
  </r>
  <r>
    <s v="ORD-2494"/>
    <x v="166"/>
    <x v="2"/>
    <s v="P106"/>
    <n v="8"/>
    <n v="2200"/>
    <s v="Pooja Desai"/>
    <n v="17600"/>
    <s v="Headphones"/>
    <s v="Accessories"/>
  </r>
  <r>
    <s v="ORD-2495"/>
    <x v="166"/>
    <x v="0"/>
    <s v="P104"/>
    <n v="17"/>
    <n v="650"/>
    <s v="Subhash Das"/>
    <n v="11050"/>
    <s v="Wireless Mouse"/>
    <s v="Accessories"/>
  </r>
  <r>
    <s v="ORD-2496"/>
    <x v="167"/>
    <x v="2"/>
    <s v="P103"/>
    <n v="3"/>
    <n v="9500"/>
    <s v="Pooja Desai"/>
    <n v="28500"/>
    <s v="Printer"/>
    <s v="Electronics"/>
  </r>
  <r>
    <s v="ORD-2497"/>
    <x v="167"/>
    <x v="0"/>
    <s v="P109"/>
    <n v="76"/>
    <n v="320"/>
    <s v="Arnab Ghosh"/>
    <n v="24320"/>
    <s v="Notebook Pack"/>
    <s v="Stationery"/>
  </r>
  <r>
    <s v="ORD-2498"/>
    <x v="167"/>
    <x v="3"/>
    <s v="P105"/>
    <n v="9"/>
    <n v="1200"/>
    <s v="Karthik Iyer"/>
    <n v="10800"/>
    <s v="Keyboard"/>
    <s v="Accessories"/>
  </r>
  <r>
    <s v="ORD-2499"/>
    <x v="168"/>
    <x v="3"/>
    <s v="P108"/>
    <n v="2"/>
    <n v="9800"/>
    <s v="Suresh Reddy"/>
    <n v="19600"/>
    <s v="Study Desk"/>
    <s v="Furniture"/>
  </r>
  <r>
    <s v="ORD-2500"/>
    <x v="168"/>
    <x v="3"/>
    <s v="P105"/>
    <n v="6"/>
    <n v="1200"/>
    <s v="Divya Nair"/>
    <n v="7200"/>
    <s v="Keyboard"/>
    <s v="Accessor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1F5CF-C66F-418B-8CB1-C8FF8FE842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2">
    <pivotField showAll="0"/>
    <pivotField axis="axisRow" numFmtId="14" showAll="0">
      <items count="1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1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7" baseField="11" baseItem="6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8A7175-AD8B-4FD0-8C70-82B21B8546E9}" autoFormatId="16" applyNumberFormats="0" applyBorderFormats="0" applyFontFormats="0" applyPatternFormats="0" applyAlignmentFormats="0" applyWidthHeightFormats="0">
  <queryTableRefresh nextId="14" unboundColumnsRight="3">
    <queryTableFields count="10">
      <queryTableField id="1" name="Order ID" tableColumnId="1"/>
      <queryTableField id="2" name="Date" tableColumnId="2"/>
      <queryTableField id="3" name="Region" tableColumnId="3"/>
      <queryTableField id="4" name="Product ID" tableColumnId="4"/>
      <queryTableField id="5" name="Quantity" tableColumnId="5"/>
      <queryTableField id="6" name="Unit Price" tableColumnId="6"/>
      <queryTableField id="7" name="Salesperson" tableColumnId="7"/>
      <queryTableField id="11" dataBound="0" tableColumnId="11"/>
      <queryTableField id="12" dataBound="0" tableColumnId="12"/>
      <queryTableField id="13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37FA988-DDF0-486B-A0E9-EA0D0FEAFAC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FE0803-7222-4D12-A5C8-15A9687BCAEA}" name="Table2" displayName="Table2" ref="A1:B7" totalsRowShown="0">
  <autoFilter ref="A1:B7" xr:uid="{3CFE0803-7222-4D12-A5C8-15A9687BCAEA}"/>
  <tableColumns count="2">
    <tableColumn id="1" xr3:uid="{EF8F3C36-5A5F-428E-88FC-8731937A3CCD}" name="Months"/>
    <tableColumn id="2" xr3:uid="{99518FE1-8221-4437-8E1E-78222211C359}" name="Total Sales" dataDxfId="7">
      <calculatedColumnFormula>Pivot!F5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046BDC-51BF-4CA4-BFA1-5B12328C84B5}" name="Table4" displayName="Table4" ref="A17:B21" totalsRowShown="0">
  <autoFilter ref="A17:B21" xr:uid="{7B046BDC-51BF-4CA4-BFA1-5B12328C84B5}"/>
  <tableColumns count="2">
    <tableColumn id="1" xr3:uid="{DC46117D-0075-4E03-8C5E-4C8A156EEEA3}" name="Region">
      <calculatedColumnFormula>'SUMIF Analysis'!A2</calculatedColumnFormula>
    </tableColumn>
    <tableColumn id="2" xr3:uid="{D24E4D98-8EAC-40DB-8226-FC7CA786D814}" name="Total Sales" dataDxfId="6" dataCellStyle="Comma">
      <calculatedColumnFormula>'SUMIF Analysis'!B2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DFF09B-FC8A-484A-AEC0-36040C9F98FF}" name="Table5" displayName="Table5" ref="A31:B36" totalsRowShown="0">
  <autoFilter ref="A31:B36" xr:uid="{A4DFF09B-FC8A-484A-AEC0-36040C9F98FF}"/>
  <tableColumns count="2">
    <tableColumn id="1" xr3:uid="{0F45C99A-1B55-4786-93B9-F96F24B9EDEA}" name="Product">
      <calculatedColumnFormula>INDEX('SUMIF Analysis'!$D$2:$D$11,MATCH(B32,'SUMIF Analysis'!$E$2:$E$11,0))</calculatedColumnFormula>
    </tableColumn>
    <tableColumn id="2" xr3:uid="{394747D2-2BCC-400B-A754-6098F981BD8A}" name="Total Sales" dataDxfId="5" dataCellStyle="Comma">
      <calculatedColumnFormula>LARGE('SUMIF Analysis'!$E$2:$E$11,ROWS(B$25:B25))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953DCF-9AA8-4091-AE07-F9CD68AA7A7B}" name="Table6" displayName="Table6" ref="A1:B6" totalsRowShown="0" headerRowDxfId="4" tableBorderDxfId="3">
  <autoFilter ref="A1:B6" xr:uid="{30953DCF-9AA8-4091-AE07-F9CD68AA7A7B}"/>
  <tableColumns count="2">
    <tableColumn id="1" xr3:uid="{76200FC7-40E9-4973-B02C-B9A0767A6952}" name="Region"/>
    <tableColumn id="2" xr3:uid="{92D5AD0B-FC3C-4760-BC2D-0704646F3EBD}" name="Total Sal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8D775-571C-4C98-B2EC-966BA4B43FBE}" name="sales_data_messy_1" displayName="sales_data_messy_1" ref="A1:J490" tableType="queryTable" totalsRowShown="0">
  <autoFilter ref="A1:J490" xr:uid="{0858D775-571C-4C98-B2EC-966BA4B43FBE}"/>
  <sortState xmlns:xlrd2="http://schemas.microsoft.com/office/spreadsheetml/2017/richdata2" ref="A2:J490">
    <sortCondition ref="A1:A490"/>
  </sortState>
  <tableColumns count="10">
    <tableColumn id="1" xr3:uid="{2C010F17-BADB-42B6-A174-E93909F32B7C}" uniqueName="1" name="Order ID" queryTableFieldId="1" dataDxfId="16"/>
    <tableColumn id="2" xr3:uid="{792084A3-8EA4-417D-A3F0-39A25430AA5E}" uniqueName="2" name="Date" queryTableFieldId="2" dataDxfId="15"/>
    <tableColumn id="3" xr3:uid="{D1377430-F5C9-4A7D-8976-6DF100841291}" uniqueName="3" name="Region" queryTableFieldId="3" dataDxfId="14"/>
    <tableColumn id="4" xr3:uid="{74D35FEB-CB7A-4D58-9782-37088A43ACDC}" uniqueName="4" name="Product ID" queryTableFieldId="4" dataDxfId="13"/>
    <tableColumn id="5" xr3:uid="{EC4E6CE8-9581-47A2-B6A8-89C3716D35C8}" uniqueName="5" name="Quantity" queryTableFieldId="5"/>
    <tableColumn id="6" xr3:uid="{ADC6F711-C67A-42D6-983F-E7BBB416193D}" uniqueName="6" name="Unit Price" queryTableFieldId="6" dataDxfId="12"/>
    <tableColumn id="7" xr3:uid="{5A5787E2-B335-424D-BF33-0C3B6C2496D9}" uniqueName="7" name="Salesperson" queryTableFieldId="7" dataDxfId="11"/>
    <tableColumn id="11" xr3:uid="{1766B0DB-60F4-428A-B54F-D973FB5DA610}" uniqueName="11" name="Total Sales" queryTableFieldId="11" dataDxfId="10">
      <calculatedColumnFormula>E2*F2</calculatedColumnFormula>
    </tableColumn>
    <tableColumn id="12" xr3:uid="{4701A127-2D04-46BF-8325-0C61F496F9FD}" uniqueName="12" name="Product Name" queryTableFieldId="12" dataDxfId="9">
      <calculatedColumnFormula>IFERROR(VLOOKUP(D2,'product master'!A:C,2,FALSE),"Not Found")</calculatedColumnFormula>
    </tableColumn>
    <tableColumn id="8" xr3:uid="{2F1F149E-46DA-4535-A49E-C85CE34ADAF2}" uniqueName="8" name="Category" queryTableFieldId="13" dataDxfId="8">
      <calculatedColumnFormula>IFERROR(VLOOKUP(D2,'product master'!A:C,3,FALSE),"Not Found")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BCAE9D-1DD5-43E5-A722-4C39CB390AED}" name="product_master" displayName="product_master" ref="A1:C12" tableType="queryTable" totalsRowShown="0">
  <autoFilter ref="A1:C12" xr:uid="{5BBCAE9D-1DD5-43E5-A722-4C39CB390AED}"/>
  <tableColumns count="3">
    <tableColumn id="1" xr3:uid="{2083327E-93E2-454B-A28E-FB580D743CFA}" uniqueName="1" name="Column1" queryTableFieldId="1" dataDxfId="2"/>
    <tableColumn id="2" xr3:uid="{42254E72-533C-4613-BB8D-563388AAEE3D}" uniqueName="2" name="Column2" queryTableFieldId="2" dataDxfId="1"/>
    <tableColumn id="3" xr3:uid="{0261A7CC-D7BF-401E-B2E4-18010D1A5461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036C-D319-4313-A33C-97DC253701F3}">
  <dimension ref="A1:D21"/>
  <sheetViews>
    <sheetView workbookViewId="0">
      <selection activeCell="A25" sqref="A25"/>
    </sheetView>
  </sheetViews>
  <sheetFormatPr defaultRowHeight="14.4" x14ac:dyDescent="0.3"/>
  <cols>
    <col min="1" max="1" width="68.33203125" customWidth="1"/>
    <col min="2" max="2" width="14" bestFit="1" customWidth="1"/>
    <col min="3" max="3" width="9.109375" bestFit="1" customWidth="1"/>
  </cols>
  <sheetData>
    <row r="1" spans="1:4" x14ac:dyDescent="0.3">
      <c r="A1" s="27" t="s">
        <v>559</v>
      </c>
    </row>
    <row r="3" spans="1:4" x14ac:dyDescent="0.3">
      <c r="A3" s="27" t="s">
        <v>560</v>
      </c>
    </row>
    <row r="4" spans="1:4" x14ac:dyDescent="0.3">
      <c r="A4" t="s">
        <v>544</v>
      </c>
      <c r="B4" s="19">
        <f>SUM('Clean data'!H:H)</f>
        <v>13933930</v>
      </c>
    </row>
    <row r="5" spans="1:4" x14ac:dyDescent="0.3">
      <c r="A5" t="s">
        <v>561</v>
      </c>
      <c r="B5">
        <f>COUNTA('Clean data'!A:A)-1</f>
        <v>489</v>
      </c>
    </row>
    <row r="6" spans="1:4" x14ac:dyDescent="0.3">
      <c r="A6" t="s">
        <v>562</v>
      </c>
      <c r="B6" s="26">
        <f>B4/B5</f>
        <v>28494.744376278119</v>
      </c>
    </row>
    <row r="7" spans="1:4" x14ac:dyDescent="0.3">
      <c r="D7" s="20"/>
    </row>
    <row r="8" spans="1:4" x14ac:dyDescent="0.3">
      <c r="A8" s="27" t="s">
        <v>563</v>
      </c>
    </row>
    <row r="9" spans="1:4" x14ac:dyDescent="0.3">
      <c r="A9" t="s">
        <v>564</v>
      </c>
      <c r="B9" t="str">
        <f>INDEX('SUMIF Analysis'!A2:A5,MATCH(MAX('SUMIF Analysis'!B2:B5),'SUMIF Analysis'!B2:B5,0))</f>
        <v>West</v>
      </c>
      <c r="C9" s="28">
        <f>MAX('SUMIF Analysis'!B2:B5)/B4</f>
        <v>0.30954009385722475</v>
      </c>
    </row>
    <row r="10" spans="1:4" x14ac:dyDescent="0.3">
      <c r="A10" t="s">
        <v>565</v>
      </c>
      <c r="B10" t="str">
        <f>INDEX('SUMIF Analysis'!A2:A5,MATCH(MIN('SUMIF Analysis'!B2:B5),'SUMIF Analysis'!B2:B5,0))</f>
        <v>East</v>
      </c>
      <c r="C10" s="28">
        <f>MIN('SUMIF Analysis'!B2:B5)/B4</f>
        <v>0.18977919366610857</v>
      </c>
    </row>
    <row r="11" spans="1:4" x14ac:dyDescent="0.3">
      <c r="A11" t="s">
        <v>566</v>
      </c>
      <c r="B11" t="str">
        <f>INDEX(Charts!A2:A7,MATCH(MAX(Charts!B2:B7),Charts!B2:B7,0))</f>
        <v>Apr</v>
      </c>
      <c r="C11" s="2">
        <f>MAX(Charts!B2:B7)</f>
        <v>2657030</v>
      </c>
    </row>
    <row r="12" spans="1:4" x14ac:dyDescent="0.3">
      <c r="A12" t="s">
        <v>567</v>
      </c>
      <c r="B12" t="str">
        <f>INDEX(Charts!A2:A7,MATCH(MIN(Charts!B2:B7),Charts!B2:B7,0))</f>
        <v>Mar</v>
      </c>
      <c r="C12" s="2">
        <f>MIN(Charts!B2:B7)</f>
        <v>1534800</v>
      </c>
    </row>
    <row r="13" spans="1:4" x14ac:dyDescent="0.3">
      <c r="A13" t="s">
        <v>568</v>
      </c>
      <c r="B13" t="str">
        <f>INDEX('SUMIF Analysis'!D2:D11,MATCH(MAX('SUMIF Analysis'!E2:E11),'SUMIF Analysis'!E2:E11,0))</f>
        <v>Laptop</v>
      </c>
      <c r="C13" s="20">
        <v>0.41299999999999998</v>
      </c>
    </row>
    <row r="14" spans="1:4" x14ac:dyDescent="0.3">
      <c r="A14" t="s">
        <v>569</v>
      </c>
      <c r="C14" s="28">
        <f>SUM(Charts!B32:B36)/B4</f>
        <v>0.73537042313259793</v>
      </c>
    </row>
    <row r="15" spans="1:4" x14ac:dyDescent="0.3">
      <c r="A15" t="s">
        <v>570</v>
      </c>
      <c r="B15">
        <f>COUNTIF('Clean data'!I:I,"Not Found")</f>
        <v>6</v>
      </c>
      <c r="C15" s="28">
        <f>'SUMIF Analysis'!E12/B4</f>
        <v>1.3154939058829777E-2</v>
      </c>
    </row>
    <row r="17" spans="1:1" x14ac:dyDescent="0.3">
      <c r="A17" s="27" t="s">
        <v>571</v>
      </c>
    </row>
    <row r="18" spans="1:1" ht="28.2" customHeight="1" x14ac:dyDescent="0.3">
      <c r="A18" s="29" t="s">
        <v>572</v>
      </c>
    </row>
    <row r="19" spans="1:1" ht="43.2" x14ac:dyDescent="0.3">
      <c r="A19" s="29" t="s">
        <v>573</v>
      </c>
    </row>
    <row r="20" spans="1:1" ht="43.2" x14ac:dyDescent="0.3">
      <c r="A20" s="29" t="s">
        <v>574</v>
      </c>
    </row>
    <row r="21" spans="1:1" ht="43.2" x14ac:dyDescent="0.3">
      <c r="A21" s="29" t="s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DAFC-E4C3-4A1D-8078-03C3A6E460F2}">
  <dimension ref="A1:B36"/>
  <sheetViews>
    <sheetView topLeftCell="A22" zoomScaleNormal="100" workbookViewId="0">
      <selection activeCell="K8" sqref="K8"/>
    </sheetView>
  </sheetViews>
  <sheetFormatPr defaultRowHeight="14.4" x14ac:dyDescent="0.3"/>
  <cols>
    <col min="1" max="1" width="14.33203125" customWidth="1"/>
    <col min="2" max="2" width="13.6640625" customWidth="1"/>
  </cols>
  <sheetData>
    <row r="1" spans="1:2" x14ac:dyDescent="0.3">
      <c r="A1" t="s">
        <v>557</v>
      </c>
      <c r="B1" t="s">
        <v>544</v>
      </c>
    </row>
    <row r="2" spans="1:2" x14ac:dyDescent="0.3">
      <c r="A2" t="s">
        <v>550</v>
      </c>
      <c r="B2" s="2">
        <f>Pivot!F5</f>
        <v>2573050</v>
      </c>
    </row>
    <row r="3" spans="1:2" x14ac:dyDescent="0.3">
      <c r="A3" t="s">
        <v>551</v>
      </c>
      <c r="B3" s="2">
        <f>Pivot!F6</f>
        <v>2202160</v>
      </c>
    </row>
    <row r="4" spans="1:2" x14ac:dyDescent="0.3">
      <c r="A4" t="s">
        <v>552</v>
      </c>
      <c r="B4" s="2">
        <f>Pivot!F7</f>
        <v>1534800</v>
      </c>
    </row>
    <row r="5" spans="1:2" x14ac:dyDescent="0.3">
      <c r="A5" t="s">
        <v>553</v>
      </c>
      <c r="B5" s="2">
        <f>Pivot!F8</f>
        <v>2657030</v>
      </c>
    </row>
    <row r="6" spans="1:2" x14ac:dyDescent="0.3">
      <c r="A6" t="s">
        <v>554</v>
      </c>
      <c r="B6" s="2">
        <f>Pivot!F9</f>
        <v>2617400</v>
      </c>
    </row>
    <row r="7" spans="1:2" x14ac:dyDescent="0.3">
      <c r="A7" t="s">
        <v>555</v>
      </c>
      <c r="B7" s="2">
        <f>Pivot!F10</f>
        <v>2349490</v>
      </c>
    </row>
    <row r="17" spans="1:2" x14ac:dyDescent="0.3">
      <c r="A17" t="s">
        <v>2</v>
      </c>
      <c r="B17" t="s">
        <v>544</v>
      </c>
    </row>
    <row r="18" spans="1:2" x14ac:dyDescent="0.3">
      <c r="A18" t="str">
        <f>'SUMIF Analysis'!A2</f>
        <v>East</v>
      </c>
      <c r="B18" s="19">
        <f>'SUMIF Analysis'!B2</f>
        <v>2644370</v>
      </c>
    </row>
    <row r="19" spans="1:2" x14ac:dyDescent="0.3">
      <c r="A19" t="str">
        <f>'SUMIF Analysis'!A3</f>
        <v>North</v>
      </c>
      <c r="B19" s="19">
        <f>'SUMIF Analysis'!B3</f>
        <v>3198340</v>
      </c>
    </row>
    <row r="20" spans="1:2" x14ac:dyDescent="0.3">
      <c r="A20" t="str">
        <f>'SUMIF Analysis'!A4</f>
        <v>South</v>
      </c>
      <c r="B20" s="19">
        <f>'SUMIF Analysis'!B4</f>
        <v>3778110</v>
      </c>
    </row>
    <row r="21" spans="1:2" x14ac:dyDescent="0.3">
      <c r="A21" t="str">
        <f>'SUMIF Analysis'!A5</f>
        <v>West</v>
      </c>
      <c r="B21" s="19">
        <f>'SUMIF Analysis'!B5</f>
        <v>4313110</v>
      </c>
    </row>
    <row r="31" spans="1:2" x14ac:dyDescent="0.3">
      <c r="A31" t="s">
        <v>558</v>
      </c>
      <c r="B31" t="s">
        <v>544</v>
      </c>
    </row>
    <row r="32" spans="1:2" x14ac:dyDescent="0.3">
      <c r="A32" t="str">
        <f>INDEX('SUMIF Analysis'!$D$2:$D$11,MATCH(B32,'SUMIF Analysis'!$E$2:$E$11,0))</f>
        <v>Laptop</v>
      </c>
      <c r="B32" s="19">
        <f>LARGE('SUMIF Analysis'!$E$2:$E$11,ROWS(B$25:B25))</f>
        <v>5760000</v>
      </c>
    </row>
    <row r="33" spans="1:2" x14ac:dyDescent="0.3">
      <c r="A33" t="str">
        <f>INDEX('SUMIF Analysis'!$D$2:$D$11,MATCH(B33,'SUMIF Analysis'!$E$2:$E$11,0))</f>
        <v>Headphones</v>
      </c>
      <c r="B33" s="19">
        <f>LARGE('SUMIF Analysis'!$E$2:$E$11,ROWS(B$25:B26))</f>
        <v>1203400</v>
      </c>
    </row>
    <row r="34" spans="1:2" x14ac:dyDescent="0.3">
      <c r="A34" t="str">
        <f>INDEX('SUMIF Analysis'!$D$2:$D$11,MATCH(B34,'SUMIF Analysis'!$E$2:$E$11,0))</f>
        <v>Office Chair</v>
      </c>
      <c r="B34" s="19">
        <f>LARGE('SUMIF Analysis'!$E$2:$E$11,ROWS(B$25:B27))</f>
        <v>1200000</v>
      </c>
    </row>
    <row r="35" spans="1:2" x14ac:dyDescent="0.3">
      <c r="A35" t="str">
        <f>INDEX('SUMIF Analysis'!$D$2:$D$11,MATCH(B35,'SUMIF Analysis'!$E$2:$E$11,0))</f>
        <v>Monitor</v>
      </c>
      <c r="B35" s="19">
        <f>LARGE('SUMIF Analysis'!$E$2:$E$11,ROWS(B$25:B28))</f>
        <v>1068000</v>
      </c>
    </row>
    <row r="36" spans="1:2" x14ac:dyDescent="0.3">
      <c r="A36" t="str">
        <f>INDEX('SUMIF Analysis'!$D$2:$D$11,MATCH(B36,'SUMIF Analysis'!$E$2:$E$11,0))</f>
        <v>Keyboard</v>
      </c>
      <c r="B36" s="19">
        <f>LARGE('SUMIF Analysis'!$E$2:$E$11,ROWS(B$25:B29))</f>
        <v>1015200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725F-41D9-4204-A968-3300DCCBAEBC}">
  <dimension ref="A3:F11"/>
  <sheetViews>
    <sheetView workbookViewId="0">
      <selection activeCell="F5" sqref="F5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5" width="11.6640625" bestFit="1" customWidth="1"/>
    <col min="6" max="6" width="13.33203125" bestFit="1" customWidth="1"/>
  </cols>
  <sheetData>
    <row r="3" spans="1:6" x14ac:dyDescent="0.3">
      <c r="A3" s="16" t="s">
        <v>549</v>
      </c>
      <c r="B3" s="16" t="s">
        <v>556</v>
      </c>
    </row>
    <row r="4" spans="1:6" x14ac:dyDescent="0.3">
      <c r="A4" s="16" t="s">
        <v>547</v>
      </c>
      <c r="B4" t="s">
        <v>8</v>
      </c>
      <c r="C4" t="s">
        <v>12</v>
      </c>
      <c r="D4" t="s">
        <v>25</v>
      </c>
      <c r="E4" t="s">
        <v>18</v>
      </c>
      <c r="F4" t="s">
        <v>548</v>
      </c>
    </row>
    <row r="5" spans="1:6" x14ac:dyDescent="0.3">
      <c r="A5" s="17" t="s">
        <v>550</v>
      </c>
      <c r="B5" s="18">
        <v>359820</v>
      </c>
      <c r="C5" s="18">
        <v>564580</v>
      </c>
      <c r="D5" s="18">
        <v>764200</v>
      </c>
      <c r="E5" s="18">
        <v>884450</v>
      </c>
      <c r="F5" s="18">
        <v>2573050</v>
      </c>
    </row>
    <row r="6" spans="1:6" x14ac:dyDescent="0.3">
      <c r="A6" s="17" t="s">
        <v>551</v>
      </c>
      <c r="B6" s="18">
        <v>422740</v>
      </c>
      <c r="C6" s="18">
        <v>389940</v>
      </c>
      <c r="D6" s="18">
        <v>699510</v>
      </c>
      <c r="E6" s="18">
        <v>689970</v>
      </c>
      <c r="F6" s="18">
        <v>2202160</v>
      </c>
    </row>
    <row r="7" spans="1:6" x14ac:dyDescent="0.3">
      <c r="A7" s="17" t="s">
        <v>552</v>
      </c>
      <c r="B7" s="18">
        <v>298450</v>
      </c>
      <c r="C7" s="18">
        <v>443160</v>
      </c>
      <c r="D7" s="18">
        <v>293920</v>
      </c>
      <c r="E7" s="18">
        <v>499270</v>
      </c>
      <c r="F7" s="18">
        <v>1534800</v>
      </c>
    </row>
    <row r="8" spans="1:6" x14ac:dyDescent="0.3">
      <c r="A8" s="17" t="s">
        <v>553</v>
      </c>
      <c r="B8" s="18">
        <v>394440</v>
      </c>
      <c r="C8" s="18">
        <v>772110</v>
      </c>
      <c r="D8" s="18">
        <v>620280</v>
      </c>
      <c r="E8" s="18">
        <v>870200</v>
      </c>
      <c r="F8" s="18">
        <v>2657030</v>
      </c>
    </row>
    <row r="9" spans="1:6" x14ac:dyDescent="0.3">
      <c r="A9" s="17" t="s">
        <v>554</v>
      </c>
      <c r="B9" s="18">
        <v>576330</v>
      </c>
      <c r="C9" s="18">
        <v>523140</v>
      </c>
      <c r="D9" s="18">
        <v>457300</v>
      </c>
      <c r="E9" s="18">
        <v>1060630</v>
      </c>
      <c r="F9" s="18">
        <v>2617400</v>
      </c>
    </row>
    <row r="10" spans="1:6" x14ac:dyDescent="0.3">
      <c r="A10" s="17" t="s">
        <v>555</v>
      </c>
      <c r="B10" s="18">
        <v>592590</v>
      </c>
      <c r="C10" s="18">
        <v>505410</v>
      </c>
      <c r="D10" s="18">
        <v>942900</v>
      </c>
      <c r="E10" s="18">
        <v>308590</v>
      </c>
      <c r="F10" s="18">
        <v>2349490</v>
      </c>
    </row>
    <row r="11" spans="1:6" x14ac:dyDescent="0.3">
      <c r="A11" s="17" t="s">
        <v>548</v>
      </c>
      <c r="B11" s="18">
        <v>2644370</v>
      </c>
      <c r="C11" s="18">
        <v>3198340</v>
      </c>
      <c r="D11" s="18">
        <v>3778110</v>
      </c>
      <c r="E11" s="18">
        <v>4313110</v>
      </c>
      <c r="F11" s="18">
        <v>13933930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5720-8017-4CF1-9F48-6AF629EDC863}">
  <dimension ref="A1:E13"/>
  <sheetViews>
    <sheetView workbookViewId="0">
      <selection activeCell="B10" sqref="B10"/>
    </sheetView>
  </sheetViews>
  <sheetFormatPr defaultRowHeight="14.4" x14ac:dyDescent="0.3"/>
  <cols>
    <col min="1" max="1" width="15.109375" customWidth="1"/>
    <col min="2" max="2" width="16.109375" customWidth="1"/>
    <col min="3" max="3" width="6.44140625" customWidth="1"/>
    <col min="4" max="4" width="16.88671875" customWidth="1"/>
    <col min="5" max="5" width="14.21875" customWidth="1"/>
  </cols>
  <sheetData>
    <row r="1" spans="1:5" x14ac:dyDescent="0.3">
      <c r="A1" s="23" t="s">
        <v>2</v>
      </c>
      <c r="B1" s="24" t="s">
        <v>544</v>
      </c>
      <c r="D1" s="8" t="s">
        <v>527</v>
      </c>
      <c r="E1" s="13" t="s">
        <v>544</v>
      </c>
    </row>
    <row r="2" spans="1:5" x14ac:dyDescent="0.3">
      <c r="A2" s="21" t="s">
        <v>8</v>
      </c>
      <c r="B2" s="4">
        <f>SUMIF('Clean data'!C:C,A2,'Clean data'!H:H)</f>
        <v>2644370</v>
      </c>
      <c r="D2" s="9" t="s">
        <v>529</v>
      </c>
      <c r="E2" s="10">
        <f>SUMIF('Clean data'!I:I,D2,'Clean data'!H:H)</f>
        <v>5760000</v>
      </c>
    </row>
    <row r="3" spans="1:5" x14ac:dyDescent="0.3">
      <c r="A3" s="22" t="s">
        <v>12</v>
      </c>
      <c r="B3" s="5">
        <f>SUMIF('Clean data'!C:C,A3,'Clean data'!H:H)</f>
        <v>3198340</v>
      </c>
      <c r="D3" s="11" t="s">
        <v>531</v>
      </c>
      <c r="E3" s="12">
        <f>SUMIF('Clean data'!I:I,D3,'Clean data'!H:H)</f>
        <v>1068000</v>
      </c>
    </row>
    <row r="4" spans="1:5" x14ac:dyDescent="0.3">
      <c r="A4" s="21" t="s">
        <v>25</v>
      </c>
      <c r="B4" s="4">
        <f>SUMIF('Clean data'!C:C,A4,'Clean data'!H:H)</f>
        <v>3778110</v>
      </c>
      <c r="D4" s="9" t="s">
        <v>532</v>
      </c>
      <c r="E4" s="10">
        <f>SUMIF('Clean data'!I:I,D4,'Clean data'!H:H)</f>
        <v>589000</v>
      </c>
    </row>
    <row r="5" spans="1:5" x14ac:dyDescent="0.3">
      <c r="A5" s="22" t="s">
        <v>18</v>
      </c>
      <c r="B5" s="5">
        <f>SUMIF('Clean data'!C:C,A5,'Clean data'!H:H)</f>
        <v>4313110</v>
      </c>
      <c r="D5" s="11" t="s">
        <v>533</v>
      </c>
      <c r="E5" s="12">
        <f>SUMIF('Clean data'!I:I,D5,'Clean data'!H:H)</f>
        <v>615550</v>
      </c>
    </row>
    <row r="6" spans="1:5" x14ac:dyDescent="0.3">
      <c r="A6" s="25" t="s">
        <v>545</v>
      </c>
      <c r="B6" s="3">
        <f>SUM(B2:B5)</f>
        <v>13933930</v>
      </c>
      <c r="D6" s="9" t="s">
        <v>535</v>
      </c>
      <c r="E6" s="10">
        <f>SUMIF('Clean data'!I:I,D6,'Clean data'!H:H)</f>
        <v>1015200</v>
      </c>
    </row>
    <row r="7" spans="1:5" x14ac:dyDescent="0.3">
      <c r="D7" s="11" t="s">
        <v>536</v>
      </c>
      <c r="E7" s="12">
        <f>SUMIF('Clean data'!I:I,D7,'Clean data'!H:H)</f>
        <v>1203400</v>
      </c>
    </row>
    <row r="8" spans="1:5" x14ac:dyDescent="0.3">
      <c r="D8" s="9" t="s">
        <v>537</v>
      </c>
      <c r="E8" s="10">
        <f>SUMIF('Clean data'!I:I,D8,'Clean data'!H:H)</f>
        <v>1200000</v>
      </c>
    </row>
    <row r="9" spans="1:5" x14ac:dyDescent="0.3">
      <c r="D9" s="11" t="s">
        <v>539</v>
      </c>
      <c r="E9" s="12">
        <f>SUMIF('Clean data'!I:I,D9,'Clean data'!H:H)</f>
        <v>842800</v>
      </c>
    </row>
    <row r="10" spans="1:5" x14ac:dyDescent="0.3">
      <c r="D10" s="9" t="s">
        <v>540</v>
      </c>
      <c r="E10" s="10">
        <f>SUMIF('Clean data'!I:I,D10,'Clean data'!H:H)</f>
        <v>989760</v>
      </c>
    </row>
    <row r="11" spans="1:5" x14ac:dyDescent="0.3">
      <c r="D11" s="11" t="s">
        <v>542</v>
      </c>
      <c r="E11" s="12">
        <f>SUMIF('Clean data'!I:I,D11,'Clean data'!H:H)</f>
        <v>466920</v>
      </c>
    </row>
    <row r="12" spans="1:5" x14ac:dyDescent="0.3">
      <c r="D12" s="6" t="s">
        <v>546</v>
      </c>
      <c r="E12" s="7">
        <f>SUMIF('Clean data'!I:I,D12,'Clean data'!H:H)</f>
        <v>183300</v>
      </c>
    </row>
    <row r="13" spans="1:5" x14ac:dyDescent="0.3">
      <c r="D13" s="14" t="s">
        <v>545</v>
      </c>
      <c r="E13" s="15">
        <f>SUM(E2:E12)</f>
        <v>13933930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85E3-E177-44B4-A0DF-787174F8EBBE}">
  <dimension ref="A1:J490"/>
  <sheetViews>
    <sheetView tabSelected="1" topLeftCell="B1" workbookViewId="0">
      <selection activeCell="D12" sqref="D12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8.77734375" bestFit="1" customWidth="1"/>
    <col min="4" max="4" width="11.88671875" bestFit="1" customWidth="1"/>
    <col min="5" max="5" width="10.33203125" bestFit="1" customWidth="1"/>
    <col min="6" max="6" width="11.33203125" bestFit="1" customWidth="1"/>
    <col min="7" max="7" width="13.44140625" bestFit="1" customWidth="1"/>
    <col min="8" max="8" width="15.109375" customWidth="1"/>
    <col min="9" max="9" width="15.6640625" customWidth="1"/>
    <col min="10" max="10" width="14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544</v>
      </c>
      <c r="I1" t="s">
        <v>527</v>
      </c>
      <c r="J1" t="s">
        <v>528</v>
      </c>
    </row>
    <row r="2" spans="1:10" x14ac:dyDescent="0.3">
      <c r="A2" t="s">
        <v>7</v>
      </c>
      <c r="B2" s="1">
        <v>46023</v>
      </c>
      <c r="C2" t="s">
        <v>8</v>
      </c>
      <c r="D2" t="s">
        <v>9</v>
      </c>
      <c r="E2">
        <v>5</v>
      </c>
      <c r="F2">
        <v>7500</v>
      </c>
      <c r="G2" t="s">
        <v>10</v>
      </c>
      <c r="H2">
        <f t="shared" ref="H2:H65" si="0">E2*F2</f>
        <v>37500</v>
      </c>
      <c r="I2" t="str">
        <f>IFERROR(VLOOKUP(D2,'product master'!A:C,2,FALSE),"Not Found")</f>
        <v>Office Chair</v>
      </c>
      <c r="J2" t="str">
        <f>IFERROR(VLOOKUP(D2,'product master'!A:C,3,FALSE),"Not Found")</f>
        <v>Furniture</v>
      </c>
    </row>
    <row r="3" spans="1:10" x14ac:dyDescent="0.3">
      <c r="A3" t="s">
        <v>11</v>
      </c>
      <c r="B3" s="1">
        <v>46023</v>
      </c>
      <c r="C3" t="s">
        <v>12</v>
      </c>
      <c r="D3" t="s">
        <v>13</v>
      </c>
      <c r="E3">
        <v>17</v>
      </c>
      <c r="F3">
        <v>180</v>
      </c>
      <c r="G3" t="s">
        <v>14</v>
      </c>
      <c r="H3">
        <f t="shared" si="0"/>
        <v>3060</v>
      </c>
      <c r="I3" t="str">
        <f>IFERROR(VLOOKUP(D3,'product master'!A:C,2,FALSE),"Not Found")</f>
        <v>Pen Box</v>
      </c>
      <c r="J3" t="str">
        <f>IFERROR(VLOOKUP(D3,'product master'!A:C,3,FALSE),"Not Found")</f>
        <v>Stationery</v>
      </c>
    </row>
    <row r="4" spans="1:10" x14ac:dyDescent="0.3">
      <c r="A4" t="s">
        <v>15</v>
      </c>
      <c r="B4" s="1">
        <v>46024</v>
      </c>
      <c r="C4" t="s">
        <v>12</v>
      </c>
      <c r="D4" t="s">
        <v>16</v>
      </c>
      <c r="E4">
        <v>4</v>
      </c>
      <c r="F4">
        <v>45000</v>
      </c>
      <c r="G4" t="s">
        <v>14</v>
      </c>
      <c r="H4">
        <f t="shared" si="0"/>
        <v>180000</v>
      </c>
      <c r="I4" t="str">
        <f>IFERROR(VLOOKUP(D4,'product master'!A:C,2,FALSE),"Not Found")</f>
        <v>Laptop</v>
      </c>
      <c r="J4" t="str">
        <f>IFERROR(VLOOKUP(D4,'product master'!A:C,3,FALSE),"Not Found")</f>
        <v>Electronics</v>
      </c>
    </row>
    <row r="5" spans="1:10" x14ac:dyDescent="0.3">
      <c r="A5" t="s">
        <v>17</v>
      </c>
      <c r="B5" s="1">
        <v>46024</v>
      </c>
      <c r="C5" t="s">
        <v>18</v>
      </c>
      <c r="D5" t="s">
        <v>19</v>
      </c>
      <c r="E5">
        <v>17</v>
      </c>
      <c r="F5">
        <v>650</v>
      </c>
      <c r="G5" t="s">
        <v>20</v>
      </c>
      <c r="H5">
        <f t="shared" si="0"/>
        <v>11050</v>
      </c>
      <c r="I5" t="str">
        <f>IFERROR(VLOOKUP(D5,'product master'!A:C,2,FALSE),"Not Found")</f>
        <v>Wireless Mouse</v>
      </c>
      <c r="J5" t="str">
        <f>IFERROR(VLOOKUP(D5,'product master'!A:C,3,FALSE),"Not Found")</f>
        <v>Accessories</v>
      </c>
    </row>
    <row r="6" spans="1:10" x14ac:dyDescent="0.3">
      <c r="A6" t="s">
        <v>21</v>
      </c>
      <c r="B6" s="1">
        <v>46024</v>
      </c>
      <c r="C6" t="s">
        <v>8</v>
      </c>
      <c r="D6" t="s">
        <v>22</v>
      </c>
      <c r="E6">
        <v>76</v>
      </c>
      <c r="F6">
        <v>320</v>
      </c>
      <c r="G6" t="s">
        <v>23</v>
      </c>
      <c r="H6">
        <f t="shared" si="0"/>
        <v>24320</v>
      </c>
      <c r="I6" t="str">
        <f>IFERROR(VLOOKUP(D6,'product master'!A:C,2,FALSE),"Not Found")</f>
        <v>Notebook Pack</v>
      </c>
      <c r="J6" t="str">
        <f>IFERROR(VLOOKUP(D6,'product master'!A:C,3,FALSE),"Not Found")</f>
        <v>Stationery</v>
      </c>
    </row>
    <row r="7" spans="1:10" x14ac:dyDescent="0.3">
      <c r="A7" t="s">
        <v>24</v>
      </c>
      <c r="B7" s="1">
        <v>46024</v>
      </c>
      <c r="C7" t="s">
        <v>25</v>
      </c>
      <c r="D7" t="s">
        <v>16</v>
      </c>
      <c r="E7">
        <v>3</v>
      </c>
      <c r="F7">
        <v>45000</v>
      </c>
      <c r="G7" t="s">
        <v>26</v>
      </c>
      <c r="H7">
        <f t="shared" si="0"/>
        <v>135000</v>
      </c>
      <c r="I7" t="str">
        <f>IFERROR(VLOOKUP(D7,'product master'!A:C,2,FALSE),"Not Found")</f>
        <v>Laptop</v>
      </c>
      <c r="J7" t="str">
        <f>IFERROR(VLOOKUP(D7,'product master'!A:C,3,FALSE),"Not Found")</f>
        <v>Electronics</v>
      </c>
    </row>
    <row r="8" spans="1:10" x14ac:dyDescent="0.3">
      <c r="A8" t="s">
        <v>27</v>
      </c>
      <c r="B8" s="1">
        <v>46025</v>
      </c>
      <c r="C8" t="s">
        <v>12</v>
      </c>
      <c r="D8" t="s">
        <v>19</v>
      </c>
      <c r="E8">
        <v>19</v>
      </c>
      <c r="F8">
        <v>650</v>
      </c>
      <c r="G8" t="s">
        <v>28</v>
      </c>
      <c r="H8">
        <f t="shared" si="0"/>
        <v>12350</v>
      </c>
      <c r="I8" t="str">
        <f>IFERROR(VLOOKUP(D8,'product master'!A:C,2,FALSE),"Not Found")</f>
        <v>Wireless Mouse</v>
      </c>
      <c r="J8" t="str">
        <f>IFERROR(VLOOKUP(D8,'product master'!A:C,3,FALSE),"Not Found")</f>
        <v>Accessories</v>
      </c>
    </row>
    <row r="9" spans="1:10" x14ac:dyDescent="0.3">
      <c r="A9" t="s">
        <v>29</v>
      </c>
      <c r="B9" s="1">
        <v>46025</v>
      </c>
      <c r="C9" t="s">
        <v>18</v>
      </c>
      <c r="D9" t="s">
        <v>16</v>
      </c>
      <c r="E9">
        <v>1</v>
      </c>
      <c r="F9">
        <v>45000</v>
      </c>
      <c r="G9" t="s">
        <v>30</v>
      </c>
      <c r="H9">
        <f t="shared" si="0"/>
        <v>45000</v>
      </c>
      <c r="I9" t="str">
        <f>IFERROR(VLOOKUP(D9,'product master'!A:C,2,FALSE),"Not Found")</f>
        <v>Laptop</v>
      </c>
      <c r="J9" t="str">
        <f>IFERROR(VLOOKUP(D9,'product master'!A:C,3,FALSE),"Not Found")</f>
        <v>Electronics</v>
      </c>
    </row>
    <row r="10" spans="1:10" x14ac:dyDescent="0.3">
      <c r="A10" t="s">
        <v>31</v>
      </c>
      <c r="B10" s="1">
        <v>46025</v>
      </c>
      <c r="C10" t="s">
        <v>12</v>
      </c>
      <c r="D10" t="s">
        <v>22</v>
      </c>
      <c r="E10">
        <v>23</v>
      </c>
      <c r="F10">
        <v>320</v>
      </c>
      <c r="G10" t="s">
        <v>14</v>
      </c>
      <c r="H10">
        <f t="shared" si="0"/>
        <v>7360</v>
      </c>
      <c r="I10" t="str">
        <f>IFERROR(VLOOKUP(D10,'product master'!A:C,2,FALSE),"Not Found")</f>
        <v>Notebook Pack</v>
      </c>
      <c r="J10" t="str">
        <f>IFERROR(VLOOKUP(D10,'product master'!A:C,3,FALSE),"Not Found")</f>
        <v>Stationery</v>
      </c>
    </row>
    <row r="11" spans="1:10" x14ac:dyDescent="0.3">
      <c r="A11" t="s">
        <v>32</v>
      </c>
      <c r="B11" s="1">
        <v>46025</v>
      </c>
      <c r="C11" t="s">
        <v>18</v>
      </c>
      <c r="D11" t="s">
        <v>9</v>
      </c>
      <c r="E11">
        <v>6</v>
      </c>
      <c r="F11">
        <v>7500</v>
      </c>
      <c r="G11" t="s">
        <v>33</v>
      </c>
      <c r="H11">
        <f t="shared" si="0"/>
        <v>45000</v>
      </c>
      <c r="I11" t="str">
        <f>IFERROR(VLOOKUP(D11,'product master'!A:C,2,FALSE),"Not Found")</f>
        <v>Office Chair</v>
      </c>
      <c r="J11" t="str">
        <f>IFERROR(VLOOKUP(D11,'product master'!A:C,3,FALSE),"Not Found")</f>
        <v>Furniture</v>
      </c>
    </row>
    <row r="12" spans="1:10" x14ac:dyDescent="0.3">
      <c r="A12" t="s">
        <v>34</v>
      </c>
      <c r="B12" s="1">
        <v>46026</v>
      </c>
      <c r="C12" t="s">
        <v>12</v>
      </c>
      <c r="D12" t="s">
        <v>9</v>
      </c>
      <c r="E12">
        <v>6</v>
      </c>
      <c r="F12">
        <v>7500</v>
      </c>
      <c r="G12" t="s">
        <v>14</v>
      </c>
      <c r="H12">
        <f t="shared" si="0"/>
        <v>45000</v>
      </c>
      <c r="I12" t="str">
        <f>IFERROR(VLOOKUP(D12,'product master'!A:C,2,FALSE),"Not Found")</f>
        <v>Office Chair</v>
      </c>
      <c r="J12" t="str">
        <f>IFERROR(VLOOKUP(D12,'product master'!A:C,3,FALSE),"Not Found")</f>
        <v>Furniture</v>
      </c>
    </row>
    <row r="13" spans="1:10" x14ac:dyDescent="0.3">
      <c r="A13" t="s">
        <v>35</v>
      </c>
      <c r="B13" s="1">
        <v>46026</v>
      </c>
      <c r="C13" t="s">
        <v>18</v>
      </c>
      <c r="D13" t="s">
        <v>36</v>
      </c>
      <c r="E13">
        <v>4</v>
      </c>
      <c r="F13">
        <v>12000</v>
      </c>
      <c r="G13" t="s">
        <v>33</v>
      </c>
      <c r="H13">
        <f t="shared" si="0"/>
        <v>48000</v>
      </c>
      <c r="I13" t="str">
        <f>IFERROR(VLOOKUP(D13,'product master'!A:C,2,FALSE),"Not Found")</f>
        <v>Monitor</v>
      </c>
      <c r="J13" t="str">
        <f>IFERROR(VLOOKUP(D13,'product master'!A:C,3,FALSE),"Not Found")</f>
        <v>Electronics</v>
      </c>
    </row>
    <row r="14" spans="1:10" x14ac:dyDescent="0.3">
      <c r="A14" t="s">
        <v>37</v>
      </c>
      <c r="B14" s="1">
        <v>46026</v>
      </c>
      <c r="C14" t="s">
        <v>18</v>
      </c>
      <c r="D14" t="s">
        <v>9</v>
      </c>
      <c r="E14">
        <v>5</v>
      </c>
      <c r="F14">
        <v>7500</v>
      </c>
      <c r="G14" t="s">
        <v>33</v>
      </c>
      <c r="H14">
        <f t="shared" si="0"/>
        <v>37500</v>
      </c>
      <c r="I14" t="str">
        <f>IFERROR(VLOOKUP(D14,'product master'!A:C,2,FALSE),"Not Found")</f>
        <v>Office Chair</v>
      </c>
      <c r="J14" t="str">
        <f>IFERROR(VLOOKUP(D14,'product master'!A:C,3,FALSE),"Not Found")</f>
        <v>Furniture</v>
      </c>
    </row>
    <row r="15" spans="1:10" x14ac:dyDescent="0.3">
      <c r="A15" t="s">
        <v>38</v>
      </c>
      <c r="B15" s="1">
        <v>46027</v>
      </c>
      <c r="C15" t="s">
        <v>25</v>
      </c>
      <c r="D15" t="s">
        <v>13</v>
      </c>
      <c r="E15">
        <v>74</v>
      </c>
      <c r="F15">
        <v>180</v>
      </c>
      <c r="G15" t="s">
        <v>39</v>
      </c>
      <c r="H15">
        <f t="shared" si="0"/>
        <v>13320</v>
      </c>
      <c r="I15" t="str">
        <f>IFERROR(VLOOKUP(D15,'product master'!A:C,2,FALSE),"Not Found")</f>
        <v>Pen Box</v>
      </c>
      <c r="J15" t="str">
        <f>IFERROR(VLOOKUP(D15,'product master'!A:C,3,FALSE),"Not Found")</f>
        <v>Stationery</v>
      </c>
    </row>
    <row r="16" spans="1:10" x14ac:dyDescent="0.3">
      <c r="A16" t="s">
        <v>40</v>
      </c>
      <c r="B16" s="1">
        <v>46027</v>
      </c>
      <c r="C16" t="s">
        <v>25</v>
      </c>
      <c r="D16" t="s">
        <v>41</v>
      </c>
      <c r="E16">
        <v>3</v>
      </c>
      <c r="F16">
        <v>9800</v>
      </c>
      <c r="G16" t="s">
        <v>26</v>
      </c>
      <c r="H16">
        <f t="shared" si="0"/>
        <v>29400</v>
      </c>
      <c r="I16" t="str">
        <f>IFERROR(VLOOKUP(D16,'product master'!A:C,2,FALSE),"Not Found")</f>
        <v>Study Desk</v>
      </c>
      <c r="J16" t="str">
        <f>IFERROR(VLOOKUP(D16,'product master'!A:C,3,FALSE),"Not Found")</f>
        <v>Furniture</v>
      </c>
    </row>
    <row r="17" spans="1:10" x14ac:dyDescent="0.3">
      <c r="A17" t="s">
        <v>42</v>
      </c>
      <c r="B17" s="1">
        <v>46028</v>
      </c>
      <c r="C17" t="s">
        <v>12</v>
      </c>
      <c r="D17" t="s">
        <v>22</v>
      </c>
      <c r="E17">
        <v>31</v>
      </c>
      <c r="F17">
        <v>320</v>
      </c>
      <c r="G17" t="s">
        <v>43</v>
      </c>
      <c r="H17">
        <f t="shared" si="0"/>
        <v>9920</v>
      </c>
      <c r="I17" t="str">
        <f>IFERROR(VLOOKUP(D17,'product master'!A:C,2,FALSE),"Not Found")</f>
        <v>Notebook Pack</v>
      </c>
      <c r="J17" t="str">
        <f>IFERROR(VLOOKUP(D17,'product master'!A:C,3,FALSE),"Not Found")</f>
        <v>Stationery</v>
      </c>
    </row>
    <row r="18" spans="1:10" x14ac:dyDescent="0.3">
      <c r="A18" t="s">
        <v>44</v>
      </c>
      <c r="B18" s="1">
        <v>46028</v>
      </c>
      <c r="C18" t="s">
        <v>8</v>
      </c>
      <c r="D18" t="s">
        <v>16</v>
      </c>
      <c r="E18">
        <v>1</v>
      </c>
      <c r="F18">
        <v>45000</v>
      </c>
      <c r="G18" t="s">
        <v>10</v>
      </c>
      <c r="H18">
        <f t="shared" si="0"/>
        <v>45000</v>
      </c>
      <c r="I18" t="str">
        <f>IFERROR(VLOOKUP(D18,'product master'!A:C,2,FALSE),"Not Found")</f>
        <v>Laptop</v>
      </c>
      <c r="J18" t="str">
        <f>IFERROR(VLOOKUP(D18,'product master'!A:C,3,FALSE),"Not Found")</f>
        <v>Electronics</v>
      </c>
    </row>
    <row r="19" spans="1:10" x14ac:dyDescent="0.3">
      <c r="A19" t="s">
        <v>45</v>
      </c>
      <c r="B19" s="1">
        <v>46028</v>
      </c>
      <c r="C19" t="s">
        <v>25</v>
      </c>
      <c r="D19" t="s">
        <v>36</v>
      </c>
      <c r="E19">
        <v>1</v>
      </c>
      <c r="F19">
        <v>12000</v>
      </c>
      <c r="G19" t="s">
        <v>543</v>
      </c>
      <c r="H19">
        <f t="shared" si="0"/>
        <v>12000</v>
      </c>
      <c r="I19" t="str">
        <f>IFERROR(VLOOKUP(D19,'product master'!A:C,2,FALSE),"Not Found")</f>
        <v>Monitor</v>
      </c>
      <c r="J19" t="str">
        <f>IFERROR(VLOOKUP(D19,'product master'!A:C,3,FALSE),"Not Found")</f>
        <v>Electronics</v>
      </c>
    </row>
    <row r="20" spans="1:10" x14ac:dyDescent="0.3">
      <c r="A20" t="s">
        <v>46</v>
      </c>
      <c r="B20" s="1">
        <v>46028</v>
      </c>
      <c r="C20" t="s">
        <v>25</v>
      </c>
      <c r="D20" t="s">
        <v>19</v>
      </c>
      <c r="E20">
        <v>12</v>
      </c>
      <c r="F20">
        <v>650</v>
      </c>
      <c r="G20" t="s">
        <v>47</v>
      </c>
      <c r="H20">
        <f t="shared" si="0"/>
        <v>7800</v>
      </c>
      <c r="I20" t="str">
        <f>IFERROR(VLOOKUP(D20,'product master'!A:C,2,FALSE),"Not Found")</f>
        <v>Wireless Mouse</v>
      </c>
      <c r="J20" t="str">
        <f>IFERROR(VLOOKUP(D20,'product master'!A:C,3,FALSE),"Not Found")</f>
        <v>Accessories</v>
      </c>
    </row>
    <row r="21" spans="1:10" x14ac:dyDescent="0.3">
      <c r="A21" t="s">
        <v>48</v>
      </c>
      <c r="B21" s="1">
        <v>46029</v>
      </c>
      <c r="C21" t="s">
        <v>8</v>
      </c>
      <c r="D21" t="s">
        <v>22</v>
      </c>
      <c r="E21">
        <v>40</v>
      </c>
      <c r="F21">
        <v>320</v>
      </c>
      <c r="G21" t="s">
        <v>49</v>
      </c>
      <c r="H21">
        <f t="shared" si="0"/>
        <v>12800</v>
      </c>
      <c r="I21" t="str">
        <f>IFERROR(VLOOKUP(D21,'product master'!A:C,2,FALSE),"Not Found")</f>
        <v>Notebook Pack</v>
      </c>
      <c r="J21" t="str">
        <f>IFERROR(VLOOKUP(D21,'product master'!A:C,3,FALSE),"Not Found")</f>
        <v>Stationery</v>
      </c>
    </row>
    <row r="22" spans="1:10" x14ac:dyDescent="0.3">
      <c r="A22" t="s">
        <v>50</v>
      </c>
      <c r="B22" s="1">
        <v>46029</v>
      </c>
      <c r="C22" t="s">
        <v>18</v>
      </c>
      <c r="D22" t="s">
        <v>51</v>
      </c>
      <c r="E22">
        <v>15</v>
      </c>
      <c r="F22">
        <v>2200</v>
      </c>
      <c r="G22" t="s">
        <v>33</v>
      </c>
      <c r="H22">
        <f t="shared" si="0"/>
        <v>33000</v>
      </c>
      <c r="I22" t="str">
        <f>IFERROR(VLOOKUP(D22,'product master'!A:C,2,FALSE),"Not Found")</f>
        <v>Headphones</v>
      </c>
      <c r="J22" t="str">
        <f>IFERROR(VLOOKUP(D22,'product master'!A:C,3,FALSE),"Not Found")</f>
        <v>Accessories</v>
      </c>
    </row>
    <row r="23" spans="1:10" x14ac:dyDescent="0.3">
      <c r="A23" t="s">
        <v>52</v>
      </c>
      <c r="B23" s="1">
        <v>46029</v>
      </c>
      <c r="C23" t="s">
        <v>18</v>
      </c>
      <c r="D23" t="s">
        <v>13</v>
      </c>
      <c r="E23">
        <v>74</v>
      </c>
      <c r="F23">
        <v>180</v>
      </c>
      <c r="G23" t="s">
        <v>20</v>
      </c>
      <c r="H23">
        <f t="shared" si="0"/>
        <v>13320</v>
      </c>
      <c r="I23" t="str">
        <f>IFERROR(VLOOKUP(D23,'product master'!A:C,2,FALSE),"Not Found")</f>
        <v>Pen Box</v>
      </c>
      <c r="J23" t="str">
        <f>IFERROR(VLOOKUP(D23,'product master'!A:C,3,FALSE),"Not Found")</f>
        <v>Stationery</v>
      </c>
    </row>
    <row r="24" spans="1:10" x14ac:dyDescent="0.3">
      <c r="A24" t="s">
        <v>53</v>
      </c>
      <c r="B24" s="1">
        <v>46029</v>
      </c>
      <c r="C24" t="s">
        <v>25</v>
      </c>
      <c r="D24" t="s">
        <v>9</v>
      </c>
      <c r="E24">
        <v>6</v>
      </c>
      <c r="F24">
        <v>7500</v>
      </c>
      <c r="G24" t="s">
        <v>26</v>
      </c>
      <c r="H24">
        <f t="shared" si="0"/>
        <v>45000</v>
      </c>
      <c r="I24" t="str">
        <f>IFERROR(VLOOKUP(D24,'product master'!A:C,2,FALSE),"Not Found")</f>
        <v>Office Chair</v>
      </c>
      <c r="J24" t="str">
        <f>IFERROR(VLOOKUP(D24,'product master'!A:C,3,FALSE),"Not Found")</f>
        <v>Furniture</v>
      </c>
    </row>
    <row r="25" spans="1:10" x14ac:dyDescent="0.3">
      <c r="A25" t="s">
        <v>54</v>
      </c>
      <c r="B25" s="1">
        <v>46030</v>
      </c>
      <c r="C25" t="s">
        <v>25</v>
      </c>
      <c r="D25" t="s">
        <v>55</v>
      </c>
      <c r="E25">
        <v>8</v>
      </c>
      <c r="F25">
        <v>2200</v>
      </c>
      <c r="G25" t="s">
        <v>39</v>
      </c>
      <c r="H25">
        <f t="shared" si="0"/>
        <v>17600</v>
      </c>
      <c r="I25" t="str">
        <f>IFERROR(VLOOKUP(D25,'product master'!A:C,2,FALSE),"Not Found")</f>
        <v>Not Found</v>
      </c>
      <c r="J25" t="str">
        <f>IFERROR(VLOOKUP(D25,'product master'!A:C,3,FALSE),"Not Found")</f>
        <v>Not Found</v>
      </c>
    </row>
    <row r="26" spans="1:10" x14ac:dyDescent="0.3">
      <c r="A26" t="s">
        <v>56</v>
      </c>
      <c r="B26" s="1">
        <v>46030</v>
      </c>
      <c r="C26" t="s">
        <v>25</v>
      </c>
      <c r="D26" t="s">
        <v>36</v>
      </c>
      <c r="E26">
        <v>3</v>
      </c>
      <c r="F26">
        <v>12000</v>
      </c>
      <c r="G26" t="s">
        <v>39</v>
      </c>
      <c r="H26">
        <f t="shared" si="0"/>
        <v>36000</v>
      </c>
      <c r="I26" t="str">
        <f>IFERROR(VLOOKUP(D26,'product master'!A:C,2,FALSE),"Not Found")</f>
        <v>Monitor</v>
      </c>
      <c r="J26" t="str">
        <f>IFERROR(VLOOKUP(D26,'product master'!A:C,3,FALSE),"Not Found")</f>
        <v>Electronics</v>
      </c>
    </row>
    <row r="27" spans="1:10" x14ac:dyDescent="0.3">
      <c r="A27" t="s">
        <v>57</v>
      </c>
      <c r="B27" s="1">
        <v>46031</v>
      </c>
      <c r="C27" t="s">
        <v>25</v>
      </c>
      <c r="D27" t="s">
        <v>58</v>
      </c>
      <c r="E27">
        <v>13</v>
      </c>
      <c r="F27">
        <v>1200</v>
      </c>
      <c r="G27" t="s">
        <v>39</v>
      </c>
      <c r="H27">
        <f t="shared" si="0"/>
        <v>15600</v>
      </c>
      <c r="I27" t="str">
        <f>IFERROR(VLOOKUP(D27,'product master'!A:C,2,FALSE),"Not Found")</f>
        <v>Keyboard</v>
      </c>
      <c r="J27" t="str">
        <f>IFERROR(VLOOKUP(D27,'product master'!A:C,3,FALSE),"Not Found")</f>
        <v>Accessories</v>
      </c>
    </row>
    <row r="28" spans="1:10" x14ac:dyDescent="0.3">
      <c r="A28" t="s">
        <v>59</v>
      </c>
      <c r="B28" s="1">
        <v>46032</v>
      </c>
      <c r="C28" t="s">
        <v>25</v>
      </c>
      <c r="D28" t="s">
        <v>41</v>
      </c>
      <c r="E28">
        <v>5</v>
      </c>
      <c r="F28">
        <v>9800</v>
      </c>
      <c r="G28" t="s">
        <v>39</v>
      </c>
      <c r="H28">
        <f t="shared" si="0"/>
        <v>49000</v>
      </c>
      <c r="I28" t="str">
        <f>IFERROR(VLOOKUP(D28,'product master'!A:C,2,FALSE),"Not Found")</f>
        <v>Study Desk</v>
      </c>
      <c r="J28" t="str">
        <f>IFERROR(VLOOKUP(D28,'product master'!A:C,3,FALSE),"Not Found")</f>
        <v>Furniture</v>
      </c>
    </row>
    <row r="29" spans="1:10" x14ac:dyDescent="0.3">
      <c r="A29" t="s">
        <v>60</v>
      </c>
      <c r="B29" s="1">
        <v>46032</v>
      </c>
      <c r="C29" t="s">
        <v>8</v>
      </c>
      <c r="D29" t="s">
        <v>19</v>
      </c>
      <c r="E29">
        <v>16</v>
      </c>
      <c r="F29">
        <v>650</v>
      </c>
      <c r="G29" t="s">
        <v>49</v>
      </c>
      <c r="H29">
        <f t="shared" si="0"/>
        <v>10400</v>
      </c>
      <c r="I29" t="str">
        <f>IFERROR(VLOOKUP(D29,'product master'!A:C,2,FALSE),"Not Found")</f>
        <v>Wireless Mouse</v>
      </c>
      <c r="J29" t="str">
        <f>IFERROR(VLOOKUP(D29,'product master'!A:C,3,FALSE),"Not Found")</f>
        <v>Accessories</v>
      </c>
    </row>
    <row r="30" spans="1:10" x14ac:dyDescent="0.3">
      <c r="A30" t="s">
        <v>61</v>
      </c>
      <c r="B30" s="1">
        <v>46032</v>
      </c>
      <c r="C30" t="s">
        <v>18</v>
      </c>
      <c r="D30" t="s">
        <v>36</v>
      </c>
      <c r="E30">
        <v>4</v>
      </c>
      <c r="F30">
        <v>12000</v>
      </c>
      <c r="G30" t="s">
        <v>33</v>
      </c>
      <c r="H30">
        <f t="shared" si="0"/>
        <v>48000</v>
      </c>
      <c r="I30" t="str">
        <f>IFERROR(VLOOKUP(D30,'product master'!A:C,2,FALSE),"Not Found")</f>
        <v>Monitor</v>
      </c>
      <c r="J30" t="str">
        <f>IFERROR(VLOOKUP(D30,'product master'!A:C,3,FALSE),"Not Found")</f>
        <v>Electronics</v>
      </c>
    </row>
    <row r="31" spans="1:10" x14ac:dyDescent="0.3">
      <c r="A31" t="s">
        <v>62</v>
      </c>
      <c r="B31" s="1">
        <v>46032</v>
      </c>
      <c r="C31" t="s">
        <v>18</v>
      </c>
      <c r="D31" t="s">
        <v>51</v>
      </c>
      <c r="E31">
        <v>11</v>
      </c>
      <c r="F31">
        <v>2200</v>
      </c>
      <c r="G31" t="s">
        <v>33</v>
      </c>
      <c r="H31">
        <f t="shared" si="0"/>
        <v>24200</v>
      </c>
      <c r="I31" t="str">
        <f>IFERROR(VLOOKUP(D31,'product master'!A:C,2,FALSE),"Not Found")</f>
        <v>Headphones</v>
      </c>
      <c r="J31" t="str">
        <f>IFERROR(VLOOKUP(D31,'product master'!A:C,3,FALSE),"Not Found")</f>
        <v>Accessories</v>
      </c>
    </row>
    <row r="32" spans="1:10" x14ac:dyDescent="0.3">
      <c r="A32" t="s">
        <v>63</v>
      </c>
      <c r="B32" s="1">
        <v>46034</v>
      </c>
      <c r="C32" t="s">
        <v>12</v>
      </c>
      <c r="D32" t="s">
        <v>19</v>
      </c>
      <c r="E32">
        <v>18</v>
      </c>
      <c r="F32">
        <v>650</v>
      </c>
      <c r="G32" t="s">
        <v>43</v>
      </c>
      <c r="H32">
        <f t="shared" si="0"/>
        <v>11700</v>
      </c>
      <c r="I32" t="str">
        <f>IFERROR(VLOOKUP(D32,'product master'!A:C,2,FALSE),"Not Found")</f>
        <v>Wireless Mouse</v>
      </c>
      <c r="J32" t="str">
        <f>IFERROR(VLOOKUP(D32,'product master'!A:C,3,FALSE),"Not Found")</f>
        <v>Accessories</v>
      </c>
    </row>
    <row r="33" spans="1:10" x14ac:dyDescent="0.3">
      <c r="A33" t="s">
        <v>64</v>
      </c>
      <c r="B33" s="1">
        <v>46034</v>
      </c>
      <c r="C33" t="s">
        <v>12</v>
      </c>
      <c r="D33" t="s">
        <v>41</v>
      </c>
      <c r="E33">
        <v>3</v>
      </c>
      <c r="F33">
        <v>9800</v>
      </c>
      <c r="G33" t="s">
        <v>43</v>
      </c>
      <c r="H33">
        <f t="shared" si="0"/>
        <v>29400</v>
      </c>
      <c r="I33" t="str">
        <f>IFERROR(VLOOKUP(D33,'product master'!A:C,2,FALSE),"Not Found")</f>
        <v>Study Desk</v>
      </c>
      <c r="J33" t="str">
        <f>IFERROR(VLOOKUP(D33,'product master'!A:C,3,FALSE),"Not Found")</f>
        <v>Furniture</v>
      </c>
    </row>
    <row r="34" spans="1:10" x14ac:dyDescent="0.3">
      <c r="A34" t="s">
        <v>65</v>
      </c>
      <c r="B34" s="1">
        <v>46034</v>
      </c>
      <c r="C34" t="s">
        <v>8</v>
      </c>
      <c r="D34" t="s">
        <v>51</v>
      </c>
      <c r="E34">
        <v>4</v>
      </c>
      <c r="F34">
        <v>2200</v>
      </c>
      <c r="G34" t="s">
        <v>23</v>
      </c>
      <c r="H34">
        <f t="shared" si="0"/>
        <v>8800</v>
      </c>
      <c r="I34" t="str">
        <f>IFERROR(VLOOKUP(D34,'product master'!A:C,2,FALSE),"Not Found")</f>
        <v>Headphones</v>
      </c>
      <c r="J34" t="str">
        <f>IFERROR(VLOOKUP(D34,'product master'!A:C,3,FALSE),"Not Found")</f>
        <v>Accessories</v>
      </c>
    </row>
    <row r="35" spans="1:10" x14ac:dyDescent="0.3">
      <c r="A35" t="s">
        <v>66</v>
      </c>
      <c r="B35" s="1">
        <v>46035</v>
      </c>
      <c r="C35" t="s">
        <v>18</v>
      </c>
      <c r="D35" t="s">
        <v>19</v>
      </c>
      <c r="E35">
        <v>6</v>
      </c>
      <c r="F35">
        <v>650</v>
      </c>
      <c r="G35" t="s">
        <v>33</v>
      </c>
      <c r="H35">
        <f t="shared" si="0"/>
        <v>3900</v>
      </c>
      <c r="I35" t="str">
        <f>IFERROR(VLOOKUP(D35,'product master'!A:C,2,FALSE),"Not Found")</f>
        <v>Wireless Mouse</v>
      </c>
      <c r="J35" t="str">
        <f>IFERROR(VLOOKUP(D35,'product master'!A:C,3,FALSE),"Not Found")</f>
        <v>Accessories</v>
      </c>
    </row>
    <row r="36" spans="1:10" x14ac:dyDescent="0.3">
      <c r="A36" t="s">
        <v>67</v>
      </c>
      <c r="B36" s="1">
        <v>46035</v>
      </c>
      <c r="C36" t="s">
        <v>18</v>
      </c>
      <c r="D36" t="s">
        <v>13</v>
      </c>
      <c r="E36">
        <v>80</v>
      </c>
      <c r="F36">
        <v>180</v>
      </c>
      <c r="G36" t="s">
        <v>33</v>
      </c>
      <c r="H36">
        <f t="shared" si="0"/>
        <v>14400</v>
      </c>
      <c r="I36" t="str">
        <f>IFERROR(VLOOKUP(D36,'product master'!A:C,2,FALSE),"Not Found")</f>
        <v>Pen Box</v>
      </c>
      <c r="J36" t="str">
        <f>IFERROR(VLOOKUP(D36,'product master'!A:C,3,FALSE),"Not Found")</f>
        <v>Stationery</v>
      </c>
    </row>
    <row r="37" spans="1:10" x14ac:dyDescent="0.3">
      <c r="A37" t="s">
        <v>68</v>
      </c>
      <c r="B37" s="1">
        <v>46035</v>
      </c>
      <c r="C37" t="s">
        <v>12</v>
      </c>
      <c r="D37" t="s">
        <v>51</v>
      </c>
      <c r="E37">
        <v>12</v>
      </c>
      <c r="F37">
        <v>2200</v>
      </c>
      <c r="G37" t="s">
        <v>28</v>
      </c>
      <c r="H37">
        <f t="shared" si="0"/>
        <v>26400</v>
      </c>
      <c r="I37" t="str">
        <f>IFERROR(VLOOKUP(D37,'product master'!A:C,2,FALSE),"Not Found")</f>
        <v>Headphones</v>
      </c>
      <c r="J37" t="str">
        <f>IFERROR(VLOOKUP(D37,'product master'!A:C,3,FALSE),"Not Found")</f>
        <v>Accessories</v>
      </c>
    </row>
    <row r="38" spans="1:10" x14ac:dyDescent="0.3">
      <c r="A38" t="s">
        <v>69</v>
      </c>
      <c r="B38" s="1">
        <v>46036</v>
      </c>
      <c r="C38" t="s">
        <v>12</v>
      </c>
      <c r="D38" t="s">
        <v>58</v>
      </c>
      <c r="E38">
        <v>2</v>
      </c>
      <c r="F38">
        <v>1200</v>
      </c>
      <c r="G38" t="s">
        <v>43</v>
      </c>
      <c r="H38">
        <f t="shared" si="0"/>
        <v>2400</v>
      </c>
      <c r="I38" t="str">
        <f>IFERROR(VLOOKUP(D38,'product master'!A:C,2,FALSE),"Not Found")</f>
        <v>Keyboard</v>
      </c>
      <c r="J38" t="str">
        <f>IFERROR(VLOOKUP(D38,'product master'!A:C,3,FALSE),"Not Found")</f>
        <v>Accessories</v>
      </c>
    </row>
    <row r="39" spans="1:10" x14ac:dyDescent="0.3">
      <c r="A39" t="s">
        <v>70</v>
      </c>
      <c r="B39" s="1">
        <v>46037</v>
      </c>
      <c r="C39" t="s">
        <v>12</v>
      </c>
      <c r="D39" t="s">
        <v>22</v>
      </c>
      <c r="E39">
        <v>29</v>
      </c>
      <c r="F39">
        <v>320</v>
      </c>
      <c r="G39" t="s">
        <v>28</v>
      </c>
      <c r="H39">
        <f t="shared" si="0"/>
        <v>9280</v>
      </c>
      <c r="I39" t="str">
        <f>IFERROR(VLOOKUP(D39,'product master'!A:C,2,FALSE),"Not Found")</f>
        <v>Notebook Pack</v>
      </c>
      <c r="J39" t="str">
        <f>IFERROR(VLOOKUP(D39,'product master'!A:C,3,FALSE),"Not Found")</f>
        <v>Stationery</v>
      </c>
    </row>
    <row r="40" spans="1:10" x14ac:dyDescent="0.3">
      <c r="A40" t="s">
        <v>71</v>
      </c>
      <c r="B40" s="1">
        <v>46038</v>
      </c>
      <c r="C40" t="s">
        <v>18</v>
      </c>
      <c r="D40" t="s">
        <v>13</v>
      </c>
      <c r="E40">
        <v>74</v>
      </c>
      <c r="F40">
        <v>180</v>
      </c>
      <c r="G40" t="s">
        <v>33</v>
      </c>
      <c r="H40">
        <f t="shared" si="0"/>
        <v>13320</v>
      </c>
      <c r="I40" t="str">
        <f>IFERROR(VLOOKUP(D40,'product master'!A:C,2,FALSE),"Not Found")</f>
        <v>Pen Box</v>
      </c>
      <c r="J40" t="str">
        <f>IFERROR(VLOOKUP(D40,'product master'!A:C,3,FALSE),"Not Found")</f>
        <v>Stationery</v>
      </c>
    </row>
    <row r="41" spans="1:10" x14ac:dyDescent="0.3">
      <c r="A41" t="s">
        <v>72</v>
      </c>
      <c r="B41" s="1">
        <v>46038</v>
      </c>
      <c r="C41" t="s">
        <v>12</v>
      </c>
      <c r="D41" t="s">
        <v>9</v>
      </c>
      <c r="E41">
        <v>5</v>
      </c>
      <c r="F41">
        <v>7500</v>
      </c>
      <c r="G41" t="s">
        <v>28</v>
      </c>
      <c r="H41">
        <f t="shared" si="0"/>
        <v>37500</v>
      </c>
      <c r="I41" t="str">
        <f>IFERROR(VLOOKUP(D41,'product master'!A:C,2,FALSE),"Not Found")</f>
        <v>Office Chair</v>
      </c>
      <c r="J41" t="str">
        <f>IFERROR(VLOOKUP(D41,'product master'!A:C,3,FALSE),"Not Found")</f>
        <v>Furniture</v>
      </c>
    </row>
    <row r="42" spans="1:10" x14ac:dyDescent="0.3">
      <c r="A42" t="s">
        <v>73</v>
      </c>
      <c r="B42" s="1">
        <v>46038</v>
      </c>
      <c r="C42" t="s">
        <v>25</v>
      </c>
      <c r="D42" t="s">
        <v>58</v>
      </c>
      <c r="E42">
        <v>20</v>
      </c>
      <c r="F42">
        <v>1200</v>
      </c>
      <c r="G42" t="s">
        <v>47</v>
      </c>
      <c r="H42">
        <f t="shared" si="0"/>
        <v>24000</v>
      </c>
      <c r="I42" t="str">
        <f>IFERROR(VLOOKUP(D42,'product master'!A:C,2,FALSE),"Not Found")</f>
        <v>Keyboard</v>
      </c>
      <c r="J42" t="str">
        <f>IFERROR(VLOOKUP(D42,'product master'!A:C,3,FALSE),"Not Found")</f>
        <v>Accessories</v>
      </c>
    </row>
    <row r="43" spans="1:10" x14ac:dyDescent="0.3">
      <c r="A43" t="s">
        <v>74</v>
      </c>
      <c r="B43" s="1">
        <v>46038</v>
      </c>
      <c r="C43" t="s">
        <v>12</v>
      </c>
      <c r="D43" t="s">
        <v>19</v>
      </c>
      <c r="E43">
        <v>20</v>
      </c>
      <c r="F43">
        <v>650</v>
      </c>
      <c r="G43" t="s">
        <v>14</v>
      </c>
      <c r="H43">
        <f t="shared" si="0"/>
        <v>13000</v>
      </c>
      <c r="I43" t="str">
        <f>IFERROR(VLOOKUP(D43,'product master'!A:C,2,FALSE),"Not Found")</f>
        <v>Wireless Mouse</v>
      </c>
      <c r="J43" t="str">
        <f>IFERROR(VLOOKUP(D43,'product master'!A:C,3,FALSE),"Not Found")</f>
        <v>Accessories</v>
      </c>
    </row>
    <row r="44" spans="1:10" x14ac:dyDescent="0.3">
      <c r="A44" t="s">
        <v>75</v>
      </c>
      <c r="B44" s="1">
        <v>46038</v>
      </c>
      <c r="C44" t="s">
        <v>8</v>
      </c>
      <c r="D44" t="s">
        <v>58</v>
      </c>
      <c r="E44">
        <v>17</v>
      </c>
      <c r="F44">
        <v>1200</v>
      </c>
      <c r="G44" t="s">
        <v>10</v>
      </c>
      <c r="H44">
        <f t="shared" si="0"/>
        <v>20400</v>
      </c>
      <c r="I44" t="str">
        <f>IFERROR(VLOOKUP(D44,'product master'!A:C,2,FALSE),"Not Found")</f>
        <v>Keyboard</v>
      </c>
      <c r="J44" t="str">
        <f>IFERROR(VLOOKUP(D44,'product master'!A:C,3,FALSE),"Not Found")</f>
        <v>Accessories</v>
      </c>
    </row>
    <row r="45" spans="1:10" x14ac:dyDescent="0.3">
      <c r="A45" t="s">
        <v>76</v>
      </c>
      <c r="B45" s="1">
        <v>46039</v>
      </c>
      <c r="C45" t="s">
        <v>25</v>
      </c>
      <c r="D45" t="s">
        <v>22</v>
      </c>
      <c r="E45">
        <v>59</v>
      </c>
      <c r="F45">
        <v>320</v>
      </c>
      <c r="G45" t="s">
        <v>39</v>
      </c>
      <c r="H45">
        <f t="shared" si="0"/>
        <v>18880</v>
      </c>
      <c r="I45" t="str">
        <f>IFERROR(VLOOKUP(D45,'product master'!A:C,2,FALSE),"Not Found")</f>
        <v>Notebook Pack</v>
      </c>
      <c r="J45" t="str">
        <f>IFERROR(VLOOKUP(D45,'product master'!A:C,3,FALSE),"Not Found")</f>
        <v>Stationery</v>
      </c>
    </row>
    <row r="46" spans="1:10" x14ac:dyDescent="0.3">
      <c r="A46" t="s">
        <v>77</v>
      </c>
      <c r="B46" s="1">
        <v>46039</v>
      </c>
      <c r="C46" t="s">
        <v>12</v>
      </c>
      <c r="D46" t="s">
        <v>16</v>
      </c>
      <c r="E46">
        <v>1</v>
      </c>
      <c r="F46">
        <v>45000</v>
      </c>
      <c r="G46" t="s">
        <v>14</v>
      </c>
      <c r="H46">
        <f t="shared" si="0"/>
        <v>45000</v>
      </c>
      <c r="I46" t="str">
        <f>IFERROR(VLOOKUP(D46,'product master'!A:C,2,FALSE),"Not Found")</f>
        <v>Laptop</v>
      </c>
      <c r="J46" t="str">
        <f>IFERROR(VLOOKUP(D46,'product master'!A:C,3,FALSE),"Not Found")</f>
        <v>Electronics</v>
      </c>
    </row>
    <row r="47" spans="1:10" x14ac:dyDescent="0.3">
      <c r="A47" t="s">
        <v>78</v>
      </c>
      <c r="B47" s="1">
        <v>46039</v>
      </c>
      <c r="C47" t="s">
        <v>18</v>
      </c>
      <c r="D47" t="s">
        <v>16</v>
      </c>
      <c r="E47">
        <v>1</v>
      </c>
      <c r="F47">
        <v>45000</v>
      </c>
      <c r="G47" t="s">
        <v>30</v>
      </c>
      <c r="H47">
        <f t="shared" si="0"/>
        <v>45000</v>
      </c>
      <c r="I47" t="str">
        <f>IFERROR(VLOOKUP(D47,'product master'!A:C,2,FALSE),"Not Found")</f>
        <v>Laptop</v>
      </c>
      <c r="J47" t="str">
        <f>IFERROR(VLOOKUP(D47,'product master'!A:C,3,FALSE),"Not Found")</f>
        <v>Electronics</v>
      </c>
    </row>
    <row r="48" spans="1:10" x14ac:dyDescent="0.3">
      <c r="A48" t="s">
        <v>79</v>
      </c>
      <c r="B48" s="1">
        <v>46039</v>
      </c>
      <c r="C48" t="s">
        <v>18</v>
      </c>
      <c r="D48" t="s">
        <v>9</v>
      </c>
      <c r="E48">
        <v>5</v>
      </c>
      <c r="F48">
        <v>7500</v>
      </c>
      <c r="G48" t="s">
        <v>20</v>
      </c>
      <c r="H48">
        <f t="shared" si="0"/>
        <v>37500</v>
      </c>
      <c r="I48" t="str">
        <f>IFERROR(VLOOKUP(D48,'product master'!A:C,2,FALSE),"Not Found")</f>
        <v>Office Chair</v>
      </c>
      <c r="J48" t="str">
        <f>IFERROR(VLOOKUP(D48,'product master'!A:C,3,FALSE),"Not Found")</f>
        <v>Furniture</v>
      </c>
    </row>
    <row r="49" spans="1:10" x14ac:dyDescent="0.3">
      <c r="A49" t="s">
        <v>80</v>
      </c>
      <c r="B49" s="1">
        <v>46039</v>
      </c>
      <c r="C49" t="s">
        <v>18</v>
      </c>
      <c r="D49" t="s">
        <v>13</v>
      </c>
      <c r="E49">
        <v>66</v>
      </c>
      <c r="F49">
        <v>180</v>
      </c>
      <c r="G49" t="s">
        <v>543</v>
      </c>
      <c r="H49">
        <f t="shared" si="0"/>
        <v>11880</v>
      </c>
      <c r="I49" t="str">
        <f>IFERROR(VLOOKUP(D49,'product master'!A:C,2,FALSE),"Not Found")</f>
        <v>Pen Box</v>
      </c>
      <c r="J49" t="str">
        <f>IFERROR(VLOOKUP(D49,'product master'!A:C,3,FALSE),"Not Found")</f>
        <v>Stationery</v>
      </c>
    </row>
    <row r="50" spans="1:10" x14ac:dyDescent="0.3">
      <c r="A50" t="s">
        <v>81</v>
      </c>
      <c r="B50" s="1">
        <v>46040</v>
      </c>
      <c r="C50" t="s">
        <v>25</v>
      </c>
      <c r="D50" t="s">
        <v>13</v>
      </c>
      <c r="E50">
        <v>21</v>
      </c>
      <c r="F50">
        <v>180</v>
      </c>
      <c r="G50" t="s">
        <v>39</v>
      </c>
      <c r="H50">
        <f t="shared" si="0"/>
        <v>3780</v>
      </c>
      <c r="I50" t="str">
        <f>IFERROR(VLOOKUP(D50,'product master'!A:C,2,FALSE),"Not Found")</f>
        <v>Pen Box</v>
      </c>
      <c r="J50" t="str">
        <f>IFERROR(VLOOKUP(D50,'product master'!A:C,3,FALSE),"Not Found")</f>
        <v>Stationery</v>
      </c>
    </row>
    <row r="51" spans="1:10" x14ac:dyDescent="0.3">
      <c r="A51" t="s">
        <v>82</v>
      </c>
      <c r="B51" s="1">
        <v>46040</v>
      </c>
      <c r="C51" t="s">
        <v>25</v>
      </c>
      <c r="D51" t="s">
        <v>22</v>
      </c>
      <c r="E51">
        <v>51</v>
      </c>
      <c r="F51">
        <v>320</v>
      </c>
      <c r="G51" t="s">
        <v>47</v>
      </c>
      <c r="H51">
        <f t="shared" si="0"/>
        <v>16320</v>
      </c>
      <c r="I51" t="str">
        <f>IFERROR(VLOOKUP(D51,'product master'!A:C,2,FALSE),"Not Found")</f>
        <v>Notebook Pack</v>
      </c>
      <c r="J51" t="str">
        <f>IFERROR(VLOOKUP(D51,'product master'!A:C,3,FALSE),"Not Found")</f>
        <v>Stationery</v>
      </c>
    </row>
    <row r="52" spans="1:10" x14ac:dyDescent="0.3">
      <c r="A52" t="s">
        <v>83</v>
      </c>
      <c r="B52" s="1">
        <v>46041</v>
      </c>
      <c r="C52" t="s">
        <v>18</v>
      </c>
      <c r="D52" t="s">
        <v>41</v>
      </c>
      <c r="E52">
        <v>1</v>
      </c>
      <c r="F52">
        <v>9800</v>
      </c>
      <c r="G52" t="s">
        <v>20</v>
      </c>
      <c r="H52">
        <f t="shared" si="0"/>
        <v>9800</v>
      </c>
      <c r="I52" t="str">
        <f>IFERROR(VLOOKUP(D52,'product master'!A:C,2,FALSE),"Not Found")</f>
        <v>Study Desk</v>
      </c>
      <c r="J52" t="str">
        <f>IFERROR(VLOOKUP(D52,'product master'!A:C,3,FALSE),"Not Found")</f>
        <v>Furniture</v>
      </c>
    </row>
    <row r="53" spans="1:10" x14ac:dyDescent="0.3">
      <c r="A53" t="s">
        <v>84</v>
      </c>
      <c r="B53" s="1">
        <v>46043</v>
      </c>
      <c r="C53" t="s">
        <v>12</v>
      </c>
      <c r="D53" t="s">
        <v>13</v>
      </c>
      <c r="E53">
        <v>26</v>
      </c>
      <c r="F53">
        <v>180</v>
      </c>
      <c r="G53" t="s">
        <v>28</v>
      </c>
      <c r="H53">
        <f t="shared" si="0"/>
        <v>4680</v>
      </c>
      <c r="I53" t="str">
        <f>IFERROR(VLOOKUP(D53,'product master'!A:C,2,FALSE),"Not Found")</f>
        <v>Pen Box</v>
      </c>
      <c r="J53" t="str">
        <f>IFERROR(VLOOKUP(D53,'product master'!A:C,3,FALSE),"Not Found")</f>
        <v>Stationery</v>
      </c>
    </row>
    <row r="54" spans="1:10" x14ac:dyDescent="0.3">
      <c r="A54" t="s">
        <v>85</v>
      </c>
      <c r="B54" s="1">
        <v>46043</v>
      </c>
      <c r="C54" t="s">
        <v>18</v>
      </c>
      <c r="D54" t="s">
        <v>16</v>
      </c>
      <c r="E54">
        <v>5</v>
      </c>
      <c r="F54">
        <v>45000</v>
      </c>
      <c r="G54" t="s">
        <v>20</v>
      </c>
      <c r="H54">
        <f t="shared" si="0"/>
        <v>225000</v>
      </c>
      <c r="I54" t="str">
        <f>IFERROR(VLOOKUP(D54,'product master'!A:C,2,FALSE),"Not Found")</f>
        <v>Laptop</v>
      </c>
      <c r="J54" t="str">
        <f>IFERROR(VLOOKUP(D54,'product master'!A:C,3,FALSE),"Not Found")</f>
        <v>Electronics</v>
      </c>
    </row>
    <row r="55" spans="1:10" x14ac:dyDescent="0.3">
      <c r="A55" t="s">
        <v>86</v>
      </c>
      <c r="B55" s="1">
        <v>46043</v>
      </c>
      <c r="C55" t="s">
        <v>8</v>
      </c>
      <c r="D55" t="s">
        <v>13</v>
      </c>
      <c r="E55">
        <v>52</v>
      </c>
      <c r="F55">
        <v>180</v>
      </c>
      <c r="G55" t="s">
        <v>10</v>
      </c>
      <c r="H55">
        <f t="shared" si="0"/>
        <v>9360</v>
      </c>
      <c r="I55" t="str">
        <f>IFERROR(VLOOKUP(D55,'product master'!A:C,2,FALSE),"Not Found")</f>
        <v>Pen Box</v>
      </c>
      <c r="J55" t="str">
        <f>IFERROR(VLOOKUP(D55,'product master'!A:C,3,FALSE),"Not Found")</f>
        <v>Stationery</v>
      </c>
    </row>
    <row r="56" spans="1:10" x14ac:dyDescent="0.3">
      <c r="A56" t="s">
        <v>87</v>
      </c>
      <c r="B56" s="1">
        <v>46044</v>
      </c>
      <c r="C56" t="s">
        <v>25</v>
      </c>
      <c r="D56" t="s">
        <v>16</v>
      </c>
      <c r="E56">
        <v>5</v>
      </c>
      <c r="F56">
        <v>45000</v>
      </c>
      <c r="G56" t="s">
        <v>47</v>
      </c>
      <c r="H56">
        <f t="shared" si="0"/>
        <v>225000</v>
      </c>
      <c r="I56" t="str">
        <f>IFERROR(VLOOKUP(D56,'product master'!A:C,2,FALSE),"Not Found")</f>
        <v>Laptop</v>
      </c>
      <c r="J56" t="str">
        <f>IFERROR(VLOOKUP(D56,'product master'!A:C,3,FALSE),"Not Found")</f>
        <v>Electronics</v>
      </c>
    </row>
    <row r="57" spans="1:10" x14ac:dyDescent="0.3">
      <c r="A57" t="s">
        <v>88</v>
      </c>
      <c r="B57" s="1">
        <v>46044</v>
      </c>
      <c r="C57" t="s">
        <v>8</v>
      </c>
      <c r="D57" t="s">
        <v>13</v>
      </c>
      <c r="E57">
        <v>28</v>
      </c>
      <c r="F57">
        <v>180</v>
      </c>
      <c r="G57" t="s">
        <v>10</v>
      </c>
      <c r="H57">
        <f t="shared" si="0"/>
        <v>5040</v>
      </c>
      <c r="I57" t="str">
        <f>IFERROR(VLOOKUP(D57,'product master'!A:C,2,FALSE),"Not Found")</f>
        <v>Pen Box</v>
      </c>
      <c r="J57" t="str">
        <f>IFERROR(VLOOKUP(D57,'product master'!A:C,3,FALSE),"Not Found")</f>
        <v>Stationery</v>
      </c>
    </row>
    <row r="58" spans="1:10" x14ac:dyDescent="0.3">
      <c r="A58" t="s">
        <v>89</v>
      </c>
      <c r="B58" s="1">
        <v>46045</v>
      </c>
      <c r="C58" t="s">
        <v>25</v>
      </c>
      <c r="D58" t="s">
        <v>36</v>
      </c>
      <c r="E58">
        <v>5</v>
      </c>
      <c r="F58">
        <v>12000</v>
      </c>
      <c r="G58" t="s">
        <v>47</v>
      </c>
      <c r="H58">
        <f t="shared" si="0"/>
        <v>60000</v>
      </c>
      <c r="I58" t="str">
        <f>IFERROR(VLOOKUP(D58,'product master'!A:C,2,FALSE),"Not Found")</f>
        <v>Monitor</v>
      </c>
      <c r="J58" t="str">
        <f>IFERROR(VLOOKUP(D58,'product master'!A:C,3,FALSE),"Not Found")</f>
        <v>Electronics</v>
      </c>
    </row>
    <row r="59" spans="1:10" x14ac:dyDescent="0.3">
      <c r="A59" t="s">
        <v>90</v>
      </c>
      <c r="B59" s="1">
        <v>46045</v>
      </c>
      <c r="C59" t="s">
        <v>12</v>
      </c>
      <c r="D59" t="s">
        <v>22</v>
      </c>
      <c r="E59">
        <v>11</v>
      </c>
      <c r="F59">
        <v>320</v>
      </c>
      <c r="G59" t="s">
        <v>43</v>
      </c>
      <c r="H59">
        <f t="shared" si="0"/>
        <v>3520</v>
      </c>
      <c r="I59" t="str">
        <f>IFERROR(VLOOKUP(D59,'product master'!A:C,2,FALSE),"Not Found")</f>
        <v>Notebook Pack</v>
      </c>
      <c r="J59" t="str">
        <f>IFERROR(VLOOKUP(D59,'product master'!A:C,3,FALSE),"Not Found")</f>
        <v>Stationery</v>
      </c>
    </row>
    <row r="60" spans="1:10" x14ac:dyDescent="0.3">
      <c r="A60" t="s">
        <v>91</v>
      </c>
      <c r="B60" s="1">
        <v>46046</v>
      </c>
      <c r="C60" t="s">
        <v>18</v>
      </c>
      <c r="D60" t="s">
        <v>22</v>
      </c>
      <c r="E60">
        <v>77</v>
      </c>
      <c r="F60">
        <v>320</v>
      </c>
      <c r="G60" t="s">
        <v>33</v>
      </c>
      <c r="H60">
        <f t="shared" si="0"/>
        <v>24640</v>
      </c>
      <c r="I60" t="str">
        <f>IFERROR(VLOOKUP(D60,'product master'!A:C,2,FALSE),"Not Found")</f>
        <v>Notebook Pack</v>
      </c>
      <c r="J60" t="str">
        <f>IFERROR(VLOOKUP(D60,'product master'!A:C,3,FALSE),"Not Found")</f>
        <v>Stationery</v>
      </c>
    </row>
    <row r="61" spans="1:10" x14ac:dyDescent="0.3">
      <c r="A61" t="s">
        <v>92</v>
      </c>
      <c r="B61" s="1">
        <v>46046</v>
      </c>
      <c r="C61" t="s">
        <v>18</v>
      </c>
      <c r="D61" t="s">
        <v>13</v>
      </c>
      <c r="E61">
        <v>35</v>
      </c>
      <c r="F61">
        <v>180</v>
      </c>
      <c r="G61" t="s">
        <v>33</v>
      </c>
      <c r="H61">
        <f t="shared" si="0"/>
        <v>6300</v>
      </c>
      <c r="I61" t="str">
        <f>IFERROR(VLOOKUP(D61,'product master'!A:C,2,FALSE),"Not Found")</f>
        <v>Pen Box</v>
      </c>
      <c r="J61" t="str">
        <f>IFERROR(VLOOKUP(D61,'product master'!A:C,3,FALSE),"Not Found")</f>
        <v>Stationery</v>
      </c>
    </row>
    <row r="62" spans="1:10" x14ac:dyDescent="0.3">
      <c r="A62" t="s">
        <v>93</v>
      </c>
      <c r="B62" s="1">
        <v>46047</v>
      </c>
      <c r="C62" t="s">
        <v>18</v>
      </c>
      <c r="D62" t="s">
        <v>22</v>
      </c>
      <c r="E62">
        <v>77</v>
      </c>
      <c r="F62">
        <v>320</v>
      </c>
      <c r="G62" t="s">
        <v>30</v>
      </c>
      <c r="H62">
        <f t="shared" si="0"/>
        <v>24640</v>
      </c>
      <c r="I62" t="str">
        <f>IFERROR(VLOOKUP(D62,'product master'!A:C,2,FALSE),"Not Found")</f>
        <v>Notebook Pack</v>
      </c>
      <c r="J62" t="str">
        <f>IFERROR(VLOOKUP(D62,'product master'!A:C,3,FALSE),"Not Found")</f>
        <v>Stationery</v>
      </c>
    </row>
    <row r="63" spans="1:10" x14ac:dyDescent="0.3">
      <c r="A63" t="s">
        <v>94</v>
      </c>
      <c r="B63" s="1">
        <v>46047</v>
      </c>
      <c r="C63" t="s">
        <v>8</v>
      </c>
      <c r="D63" t="s">
        <v>16</v>
      </c>
      <c r="E63">
        <v>4</v>
      </c>
      <c r="F63">
        <v>45000</v>
      </c>
      <c r="G63" t="s">
        <v>49</v>
      </c>
      <c r="H63">
        <f t="shared" si="0"/>
        <v>180000</v>
      </c>
      <c r="I63" t="str">
        <f>IFERROR(VLOOKUP(D63,'product master'!A:C,2,FALSE),"Not Found")</f>
        <v>Laptop</v>
      </c>
      <c r="J63" t="str">
        <f>IFERROR(VLOOKUP(D63,'product master'!A:C,3,FALSE),"Not Found")</f>
        <v>Electronics</v>
      </c>
    </row>
    <row r="64" spans="1:10" x14ac:dyDescent="0.3">
      <c r="A64" t="s">
        <v>95</v>
      </c>
      <c r="B64" s="1">
        <v>46047</v>
      </c>
      <c r="C64" t="s">
        <v>12</v>
      </c>
      <c r="D64" t="s">
        <v>19</v>
      </c>
      <c r="E64">
        <v>15</v>
      </c>
      <c r="F64">
        <v>650</v>
      </c>
      <c r="G64" t="s">
        <v>43</v>
      </c>
      <c r="H64">
        <f t="shared" si="0"/>
        <v>9750</v>
      </c>
      <c r="I64" t="str">
        <f>IFERROR(VLOOKUP(D64,'product master'!A:C,2,FALSE),"Not Found")</f>
        <v>Wireless Mouse</v>
      </c>
      <c r="J64" t="str">
        <f>IFERROR(VLOOKUP(D64,'product master'!A:C,3,FALSE),"Not Found")</f>
        <v>Accessories</v>
      </c>
    </row>
    <row r="65" spans="1:10" x14ac:dyDescent="0.3">
      <c r="A65" t="s">
        <v>96</v>
      </c>
      <c r="B65" s="1">
        <v>46047</v>
      </c>
      <c r="C65" t="s">
        <v>25</v>
      </c>
      <c r="D65" t="s">
        <v>19</v>
      </c>
      <c r="E65">
        <v>10</v>
      </c>
      <c r="F65">
        <v>650</v>
      </c>
      <c r="G65" t="s">
        <v>47</v>
      </c>
      <c r="H65">
        <f t="shared" si="0"/>
        <v>6500</v>
      </c>
      <c r="I65" t="str">
        <f>IFERROR(VLOOKUP(D65,'product master'!A:C,2,FALSE),"Not Found")</f>
        <v>Wireless Mouse</v>
      </c>
      <c r="J65" t="str">
        <f>IFERROR(VLOOKUP(D65,'product master'!A:C,3,FALSE),"Not Found")</f>
        <v>Accessories</v>
      </c>
    </row>
    <row r="66" spans="1:10" x14ac:dyDescent="0.3">
      <c r="A66" t="s">
        <v>97</v>
      </c>
      <c r="B66" s="1">
        <v>46048</v>
      </c>
      <c r="C66" t="s">
        <v>12</v>
      </c>
      <c r="D66" t="s">
        <v>51</v>
      </c>
      <c r="E66">
        <v>17</v>
      </c>
      <c r="F66">
        <v>2200</v>
      </c>
      <c r="G66" t="s">
        <v>43</v>
      </c>
      <c r="H66">
        <f t="shared" ref="H66:H129" si="1">E66*F66</f>
        <v>37400</v>
      </c>
      <c r="I66" t="str">
        <f>IFERROR(VLOOKUP(D66,'product master'!A:C,2,FALSE),"Not Found")</f>
        <v>Headphones</v>
      </c>
      <c r="J66" t="str">
        <f>IFERROR(VLOOKUP(D66,'product master'!A:C,3,FALSE),"Not Found")</f>
        <v>Accessories</v>
      </c>
    </row>
    <row r="67" spans="1:10" x14ac:dyDescent="0.3">
      <c r="A67" t="s">
        <v>98</v>
      </c>
      <c r="B67" s="1">
        <v>46048</v>
      </c>
      <c r="C67" t="s">
        <v>25</v>
      </c>
      <c r="D67" t="s">
        <v>41</v>
      </c>
      <c r="E67">
        <v>5</v>
      </c>
      <c r="F67">
        <v>9800</v>
      </c>
      <c r="G67" t="s">
        <v>26</v>
      </c>
      <c r="H67">
        <f t="shared" si="1"/>
        <v>49000</v>
      </c>
      <c r="I67" t="str">
        <f>IFERROR(VLOOKUP(D67,'product master'!A:C,2,FALSE),"Not Found")</f>
        <v>Study Desk</v>
      </c>
      <c r="J67" t="str">
        <f>IFERROR(VLOOKUP(D67,'product master'!A:C,3,FALSE),"Not Found")</f>
        <v>Furniture</v>
      </c>
    </row>
    <row r="68" spans="1:10" x14ac:dyDescent="0.3">
      <c r="A68" t="s">
        <v>99</v>
      </c>
      <c r="B68" s="1">
        <v>46049</v>
      </c>
      <c r="C68" t="s">
        <v>12</v>
      </c>
      <c r="D68" t="s">
        <v>22</v>
      </c>
      <c r="E68">
        <v>73</v>
      </c>
      <c r="F68">
        <v>320</v>
      </c>
      <c r="G68" t="s">
        <v>43</v>
      </c>
      <c r="H68">
        <f t="shared" si="1"/>
        <v>23360</v>
      </c>
      <c r="I68" t="str">
        <f>IFERROR(VLOOKUP(D68,'product master'!A:C,2,FALSE),"Not Found")</f>
        <v>Notebook Pack</v>
      </c>
      <c r="J68" t="str">
        <f>IFERROR(VLOOKUP(D68,'product master'!A:C,3,FALSE),"Not Found")</f>
        <v>Stationery</v>
      </c>
    </row>
    <row r="69" spans="1:10" x14ac:dyDescent="0.3">
      <c r="A69" t="s">
        <v>100</v>
      </c>
      <c r="B69" s="1">
        <v>46050</v>
      </c>
      <c r="C69" t="s">
        <v>8</v>
      </c>
      <c r="D69" t="s">
        <v>19</v>
      </c>
      <c r="E69">
        <v>4</v>
      </c>
      <c r="F69">
        <v>650</v>
      </c>
      <c r="G69" t="s">
        <v>49</v>
      </c>
      <c r="H69">
        <f t="shared" si="1"/>
        <v>2600</v>
      </c>
      <c r="I69" t="str">
        <f>IFERROR(VLOOKUP(D69,'product master'!A:C,2,FALSE),"Not Found")</f>
        <v>Wireless Mouse</v>
      </c>
      <c r="J69" t="str">
        <f>IFERROR(VLOOKUP(D69,'product master'!A:C,3,FALSE),"Not Found")</f>
        <v>Accessories</v>
      </c>
    </row>
    <row r="70" spans="1:10" x14ac:dyDescent="0.3">
      <c r="A70" t="s">
        <v>101</v>
      </c>
      <c r="B70" s="1">
        <v>46050</v>
      </c>
      <c r="C70" t="s">
        <v>12</v>
      </c>
      <c r="D70" t="s">
        <v>19</v>
      </c>
      <c r="E70">
        <v>18</v>
      </c>
      <c r="F70">
        <v>650</v>
      </c>
      <c r="G70" t="s">
        <v>28</v>
      </c>
      <c r="H70">
        <f t="shared" si="1"/>
        <v>11700</v>
      </c>
      <c r="I70" t="str">
        <f>IFERROR(VLOOKUP(D70,'product master'!A:C,2,FALSE),"Not Found")</f>
        <v>Wireless Mouse</v>
      </c>
      <c r="J70" t="str">
        <f>IFERROR(VLOOKUP(D70,'product master'!A:C,3,FALSE),"Not Found")</f>
        <v>Accessories</v>
      </c>
    </row>
    <row r="71" spans="1:10" x14ac:dyDescent="0.3">
      <c r="A71" t="s">
        <v>102</v>
      </c>
      <c r="B71" s="1">
        <v>46050</v>
      </c>
      <c r="C71" t="s">
        <v>18</v>
      </c>
      <c r="D71" t="s">
        <v>51</v>
      </c>
      <c r="E71">
        <v>10</v>
      </c>
      <c r="F71">
        <v>2200</v>
      </c>
      <c r="G71" t="s">
        <v>33</v>
      </c>
      <c r="H71">
        <f t="shared" si="1"/>
        <v>22000</v>
      </c>
      <c r="I71" t="str">
        <f>IFERROR(VLOOKUP(D71,'product master'!A:C,2,FALSE),"Not Found")</f>
        <v>Headphones</v>
      </c>
      <c r="J71" t="str">
        <f>IFERROR(VLOOKUP(D71,'product master'!A:C,3,FALSE),"Not Found")</f>
        <v>Accessories</v>
      </c>
    </row>
    <row r="72" spans="1:10" x14ac:dyDescent="0.3">
      <c r="A72" t="s">
        <v>103</v>
      </c>
      <c r="B72" s="1">
        <v>46051</v>
      </c>
      <c r="C72" t="s">
        <v>18</v>
      </c>
      <c r="D72" t="s">
        <v>58</v>
      </c>
      <c r="E72">
        <v>5</v>
      </c>
      <c r="F72">
        <v>1200</v>
      </c>
      <c r="G72" t="s">
        <v>20</v>
      </c>
      <c r="H72">
        <f t="shared" si="1"/>
        <v>6000</v>
      </c>
      <c r="I72" t="str">
        <f>IFERROR(VLOOKUP(D72,'product master'!A:C,2,FALSE),"Not Found")</f>
        <v>Keyboard</v>
      </c>
      <c r="J72" t="str">
        <f>IFERROR(VLOOKUP(D72,'product master'!A:C,3,FALSE),"Not Found")</f>
        <v>Accessories</v>
      </c>
    </row>
    <row r="73" spans="1:10" x14ac:dyDescent="0.3">
      <c r="A73" t="s">
        <v>104</v>
      </c>
      <c r="B73" s="1">
        <v>46052</v>
      </c>
      <c r="C73" t="s">
        <v>12</v>
      </c>
      <c r="D73" t="s">
        <v>51</v>
      </c>
      <c r="E73">
        <v>19</v>
      </c>
      <c r="F73">
        <v>2200</v>
      </c>
      <c r="G73" t="s">
        <v>43</v>
      </c>
      <c r="H73">
        <f t="shared" si="1"/>
        <v>41800</v>
      </c>
      <c r="I73" t="str">
        <f>IFERROR(VLOOKUP(D73,'product master'!A:C,2,FALSE),"Not Found")</f>
        <v>Headphones</v>
      </c>
      <c r="J73" t="str">
        <f>IFERROR(VLOOKUP(D73,'product master'!A:C,3,FALSE),"Not Found")</f>
        <v>Accessories</v>
      </c>
    </row>
    <row r="74" spans="1:10" x14ac:dyDescent="0.3">
      <c r="A74" t="s">
        <v>105</v>
      </c>
      <c r="B74" s="1">
        <v>46052</v>
      </c>
      <c r="C74" t="s">
        <v>18</v>
      </c>
      <c r="D74" t="s">
        <v>16</v>
      </c>
      <c r="E74">
        <v>3</v>
      </c>
      <c r="F74">
        <v>45000</v>
      </c>
      <c r="G74" t="s">
        <v>33</v>
      </c>
      <c r="H74">
        <f t="shared" si="1"/>
        <v>135000</v>
      </c>
      <c r="I74" t="str">
        <f>IFERROR(VLOOKUP(D74,'product master'!A:C,2,FALSE),"Not Found")</f>
        <v>Laptop</v>
      </c>
      <c r="J74" t="str">
        <f>IFERROR(VLOOKUP(D74,'product master'!A:C,3,FALSE),"Not Found")</f>
        <v>Electronics</v>
      </c>
    </row>
    <row r="75" spans="1:10" x14ac:dyDescent="0.3">
      <c r="A75" t="s">
        <v>106</v>
      </c>
      <c r="B75" s="1">
        <v>46052</v>
      </c>
      <c r="C75" t="s">
        <v>8</v>
      </c>
      <c r="D75" t="s">
        <v>13</v>
      </c>
      <c r="E75">
        <v>20</v>
      </c>
      <c r="F75">
        <v>180</v>
      </c>
      <c r="G75" t="s">
        <v>10</v>
      </c>
      <c r="H75">
        <f t="shared" si="1"/>
        <v>3600</v>
      </c>
      <c r="I75" t="str">
        <f>IFERROR(VLOOKUP(D75,'product master'!A:C,2,FALSE),"Not Found")</f>
        <v>Pen Box</v>
      </c>
      <c r="J75" t="str">
        <f>IFERROR(VLOOKUP(D75,'product master'!A:C,3,FALSE),"Not Found")</f>
        <v>Stationery</v>
      </c>
    </row>
    <row r="76" spans="1:10" x14ac:dyDescent="0.3">
      <c r="A76" t="s">
        <v>107</v>
      </c>
      <c r="B76" s="1">
        <v>46054</v>
      </c>
      <c r="C76" t="s">
        <v>18</v>
      </c>
      <c r="D76" t="s">
        <v>58</v>
      </c>
      <c r="E76">
        <v>8</v>
      </c>
      <c r="F76">
        <v>1200</v>
      </c>
      <c r="G76" t="s">
        <v>30</v>
      </c>
      <c r="H76">
        <f t="shared" si="1"/>
        <v>9600</v>
      </c>
      <c r="I76" t="str">
        <f>IFERROR(VLOOKUP(D76,'product master'!A:C,2,FALSE),"Not Found")</f>
        <v>Keyboard</v>
      </c>
      <c r="J76" t="str">
        <f>IFERROR(VLOOKUP(D76,'product master'!A:C,3,FALSE),"Not Found")</f>
        <v>Accessories</v>
      </c>
    </row>
    <row r="77" spans="1:10" x14ac:dyDescent="0.3">
      <c r="A77" t="s">
        <v>108</v>
      </c>
      <c r="B77" s="1">
        <v>46054</v>
      </c>
      <c r="C77" t="s">
        <v>8</v>
      </c>
      <c r="D77" t="s">
        <v>109</v>
      </c>
      <c r="E77">
        <v>9</v>
      </c>
      <c r="F77">
        <v>2200</v>
      </c>
      <c r="G77" t="s">
        <v>10</v>
      </c>
      <c r="H77">
        <f t="shared" si="1"/>
        <v>19800</v>
      </c>
      <c r="I77" t="str">
        <f>IFERROR(VLOOKUP(D77,'product master'!A:C,2,FALSE),"Not Found")</f>
        <v>Not Found</v>
      </c>
      <c r="J77" t="str">
        <f>IFERROR(VLOOKUP(D77,'product master'!A:C,3,FALSE),"Not Found")</f>
        <v>Not Found</v>
      </c>
    </row>
    <row r="78" spans="1:10" x14ac:dyDescent="0.3">
      <c r="A78" t="s">
        <v>110</v>
      </c>
      <c r="B78" s="1">
        <v>46054</v>
      </c>
      <c r="C78" t="s">
        <v>25</v>
      </c>
      <c r="D78" t="s">
        <v>58</v>
      </c>
      <c r="E78">
        <v>3</v>
      </c>
      <c r="F78">
        <v>1200</v>
      </c>
      <c r="G78" t="s">
        <v>39</v>
      </c>
      <c r="H78">
        <f t="shared" si="1"/>
        <v>3600</v>
      </c>
      <c r="I78" t="str">
        <f>IFERROR(VLOOKUP(D78,'product master'!A:C,2,FALSE),"Not Found")</f>
        <v>Keyboard</v>
      </c>
      <c r="J78" t="str">
        <f>IFERROR(VLOOKUP(D78,'product master'!A:C,3,FALSE),"Not Found")</f>
        <v>Accessories</v>
      </c>
    </row>
    <row r="79" spans="1:10" x14ac:dyDescent="0.3">
      <c r="A79" t="s">
        <v>111</v>
      </c>
      <c r="B79" s="1">
        <v>46055</v>
      </c>
      <c r="C79" t="s">
        <v>8</v>
      </c>
      <c r="D79" t="s">
        <v>58</v>
      </c>
      <c r="E79">
        <v>19</v>
      </c>
      <c r="F79">
        <v>1200</v>
      </c>
      <c r="G79" t="s">
        <v>23</v>
      </c>
      <c r="H79">
        <f t="shared" si="1"/>
        <v>22800</v>
      </c>
      <c r="I79" t="str">
        <f>IFERROR(VLOOKUP(D79,'product master'!A:C,2,FALSE),"Not Found")</f>
        <v>Keyboard</v>
      </c>
      <c r="J79" t="str">
        <f>IFERROR(VLOOKUP(D79,'product master'!A:C,3,FALSE),"Not Found")</f>
        <v>Accessories</v>
      </c>
    </row>
    <row r="80" spans="1:10" x14ac:dyDescent="0.3">
      <c r="A80" t="s">
        <v>112</v>
      </c>
      <c r="B80" s="1">
        <v>46055</v>
      </c>
      <c r="C80" t="s">
        <v>12</v>
      </c>
      <c r="D80" t="s">
        <v>19</v>
      </c>
      <c r="E80">
        <v>2</v>
      </c>
      <c r="F80">
        <v>650</v>
      </c>
      <c r="G80" t="s">
        <v>14</v>
      </c>
      <c r="H80">
        <f t="shared" si="1"/>
        <v>1300</v>
      </c>
      <c r="I80" t="str">
        <f>IFERROR(VLOOKUP(D80,'product master'!A:C,2,FALSE),"Not Found")</f>
        <v>Wireless Mouse</v>
      </c>
      <c r="J80" t="str">
        <f>IFERROR(VLOOKUP(D80,'product master'!A:C,3,FALSE),"Not Found")</f>
        <v>Accessories</v>
      </c>
    </row>
    <row r="81" spans="1:10" x14ac:dyDescent="0.3">
      <c r="A81" t="s">
        <v>113</v>
      </c>
      <c r="B81" s="1">
        <v>46055</v>
      </c>
      <c r="C81" t="s">
        <v>12</v>
      </c>
      <c r="D81" t="s">
        <v>19</v>
      </c>
      <c r="E81">
        <v>7</v>
      </c>
      <c r="F81">
        <v>650</v>
      </c>
      <c r="G81" t="s">
        <v>43</v>
      </c>
      <c r="H81">
        <f t="shared" si="1"/>
        <v>4550</v>
      </c>
      <c r="I81" t="str">
        <f>IFERROR(VLOOKUP(D81,'product master'!A:C,2,FALSE),"Not Found")</f>
        <v>Wireless Mouse</v>
      </c>
      <c r="J81" t="str">
        <f>IFERROR(VLOOKUP(D81,'product master'!A:C,3,FALSE),"Not Found")</f>
        <v>Accessories</v>
      </c>
    </row>
    <row r="82" spans="1:10" x14ac:dyDescent="0.3">
      <c r="A82" t="s">
        <v>114</v>
      </c>
      <c r="B82" s="1">
        <v>46055</v>
      </c>
      <c r="C82" t="s">
        <v>18</v>
      </c>
      <c r="D82" t="s">
        <v>9</v>
      </c>
      <c r="E82">
        <v>2</v>
      </c>
      <c r="F82">
        <v>7500</v>
      </c>
      <c r="G82" t="s">
        <v>33</v>
      </c>
      <c r="H82">
        <f t="shared" si="1"/>
        <v>15000</v>
      </c>
      <c r="I82" t="str">
        <f>IFERROR(VLOOKUP(D82,'product master'!A:C,2,FALSE),"Not Found")</f>
        <v>Office Chair</v>
      </c>
      <c r="J82" t="str">
        <f>IFERROR(VLOOKUP(D82,'product master'!A:C,3,FALSE),"Not Found")</f>
        <v>Furniture</v>
      </c>
    </row>
    <row r="83" spans="1:10" x14ac:dyDescent="0.3">
      <c r="A83" t="s">
        <v>115</v>
      </c>
      <c r="B83" s="1">
        <v>46055</v>
      </c>
      <c r="C83" t="s">
        <v>18</v>
      </c>
      <c r="D83" t="s">
        <v>58</v>
      </c>
      <c r="E83">
        <v>15</v>
      </c>
      <c r="F83">
        <v>1200</v>
      </c>
      <c r="G83" t="s">
        <v>20</v>
      </c>
      <c r="H83">
        <f t="shared" si="1"/>
        <v>18000</v>
      </c>
      <c r="I83" t="str">
        <f>IFERROR(VLOOKUP(D83,'product master'!A:C,2,FALSE),"Not Found")</f>
        <v>Keyboard</v>
      </c>
      <c r="J83" t="str">
        <f>IFERROR(VLOOKUP(D83,'product master'!A:C,3,FALSE),"Not Found")</f>
        <v>Accessories</v>
      </c>
    </row>
    <row r="84" spans="1:10" x14ac:dyDescent="0.3">
      <c r="A84" t="s">
        <v>116</v>
      </c>
      <c r="B84" s="1">
        <v>46057</v>
      </c>
      <c r="C84" t="s">
        <v>25</v>
      </c>
      <c r="D84" t="s">
        <v>41</v>
      </c>
      <c r="E84">
        <v>5</v>
      </c>
      <c r="F84">
        <v>9800</v>
      </c>
      <c r="G84" t="s">
        <v>47</v>
      </c>
      <c r="H84">
        <f t="shared" si="1"/>
        <v>49000</v>
      </c>
      <c r="I84" t="str">
        <f>IFERROR(VLOOKUP(D84,'product master'!A:C,2,FALSE),"Not Found")</f>
        <v>Study Desk</v>
      </c>
      <c r="J84" t="str">
        <f>IFERROR(VLOOKUP(D84,'product master'!A:C,3,FALSE),"Not Found")</f>
        <v>Furniture</v>
      </c>
    </row>
    <row r="85" spans="1:10" x14ac:dyDescent="0.3">
      <c r="A85" t="s">
        <v>117</v>
      </c>
      <c r="B85" s="1">
        <v>46057</v>
      </c>
      <c r="C85" t="s">
        <v>25</v>
      </c>
      <c r="D85" t="s">
        <v>58</v>
      </c>
      <c r="E85">
        <v>7</v>
      </c>
      <c r="F85">
        <v>1200</v>
      </c>
      <c r="G85" t="s">
        <v>26</v>
      </c>
      <c r="H85">
        <f t="shared" si="1"/>
        <v>8400</v>
      </c>
      <c r="I85" t="str">
        <f>IFERROR(VLOOKUP(D85,'product master'!A:C,2,FALSE),"Not Found")</f>
        <v>Keyboard</v>
      </c>
      <c r="J85" t="str">
        <f>IFERROR(VLOOKUP(D85,'product master'!A:C,3,FALSE),"Not Found")</f>
        <v>Accessories</v>
      </c>
    </row>
    <row r="86" spans="1:10" x14ac:dyDescent="0.3">
      <c r="A86" t="s">
        <v>118</v>
      </c>
      <c r="B86" s="1">
        <v>46057</v>
      </c>
      <c r="C86" t="s">
        <v>8</v>
      </c>
      <c r="D86" t="s">
        <v>13</v>
      </c>
      <c r="E86">
        <v>57</v>
      </c>
      <c r="F86">
        <v>180</v>
      </c>
      <c r="G86" t="s">
        <v>23</v>
      </c>
      <c r="H86">
        <f t="shared" si="1"/>
        <v>10260</v>
      </c>
      <c r="I86" t="str">
        <f>IFERROR(VLOOKUP(D86,'product master'!A:C,2,FALSE),"Not Found")</f>
        <v>Pen Box</v>
      </c>
      <c r="J86" t="str">
        <f>IFERROR(VLOOKUP(D86,'product master'!A:C,3,FALSE),"Not Found")</f>
        <v>Stationery</v>
      </c>
    </row>
    <row r="87" spans="1:10" x14ac:dyDescent="0.3">
      <c r="A87" t="s">
        <v>119</v>
      </c>
      <c r="B87" s="1">
        <v>46057</v>
      </c>
      <c r="C87" t="s">
        <v>18</v>
      </c>
      <c r="D87" t="s">
        <v>51</v>
      </c>
      <c r="E87">
        <v>6</v>
      </c>
      <c r="F87">
        <v>2200</v>
      </c>
      <c r="G87" t="s">
        <v>20</v>
      </c>
      <c r="H87">
        <f t="shared" si="1"/>
        <v>13200</v>
      </c>
      <c r="I87" t="str">
        <f>IFERROR(VLOOKUP(D87,'product master'!A:C,2,FALSE),"Not Found")</f>
        <v>Headphones</v>
      </c>
      <c r="J87" t="str">
        <f>IFERROR(VLOOKUP(D87,'product master'!A:C,3,FALSE),"Not Found")</f>
        <v>Accessories</v>
      </c>
    </row>
    <row r="88" spans="1:10" x14ac:dyDescent="0.3">
      <c r="A88" t="s">
        <v>120</v>
      </c>
      <c r="B88" s="1">
        <v>46057</v>
      </c>
      <c r="C88" t="s">
        <v>18</v>
      </c>
      <c r="D88" t="s">
        <v>13</v>
      </c>
      <c r="E88">
        <v>14</v>
      </c>
      <c r="F88">
        <v>180</v>
      </c>
      <c r="G88" t="s">
        <v>20</v>
      </c>
      <c r="H88">
        <f t="shared" si="1"/>
        <v>2520</v>
      </c>
      <c r="I88" t="str">
        <f>IFERROR(VLOOKUP(D88,'product master'!A:C,2,FALSE),"Not Found")</f>
        <v>Pen Box</v>
      </c>
      <c r="J88" t="str">
        <f>IFERROR(VLOOKUP(D88,'product master'!A:C,3,FALSE),"Not Found")</f>
        <v>Stationery</v>
      </c>
    </row>
    <row r="89" spans="1:10" x14ac:dyDescent="0.3">
      <c r="A89" t="s">
        <v>121</v>
      </c>
      <c r="B89" s="1">
        <v>46058</v>
      </c>
      <c r="C89" t="s">
        <v>18</v>
      </c>
      <c r="D89" t="s">
        <v>51</v>
      </c>
      <c r="E89">
        <v>8</v>
      </c>
      <c r="F89">
        <v>2200</v>
      </c>
      <c r="G89" t="s">
        <v>20</v>
      </c>
      <c r="H89">
        <f t="shared" si="1"/>
        <v>17600</v>
      </c>
      <c r="I89" t="str">
        <f>IFERROR(VLOOKUP(D89,'product master'!A:C,2,FALSE),"Not Found")</f>
        <v>Headphones</v>
      </c>
      <c r="J89" t="str">
        <f>IFERROR(VLOOKUP(D89,'product master'!A:C,3,FALSE),"Not Found")</f>
        <v>Accessories</v>
      </c>
    </row>
    <row r="90" spans="1:10" x14ac:dyDescent="0.3">
      <c r="A90" t="s">
        <v>122</v>
      </c>
      <c r="B90" s="1">
        <v>46058</v>
      </c>
      <c r="C90" t="s">
        <v>25</v>
      </c>
      <c r="D90" t="s">
        <v>51</v>
      </c>
      <c r="E90">
        <v>14</v>
      </c>
      <c r="F90">
        <v>2200</v>
      </c>
      <c r="G90" t="s">
        <v>39</v>
      </c>
      <c r="H90">
        <f t="shared" si="1"/>
        <v>30800</v>
      </c>
      <c r="I90" t="str">
        <f>IFERROR(VLOOKUP(D90,'product master'!A:C,2,FALSE),"Not Found")</f>
        <v>Headphones</v>
      </c>
      <c r="J90" t="str">
        <f>IFERROR(VLOOKUP(D90,'product master'!A:C,3,FALSE),"Not Found")</f>
        <v>Accessories</v>
      </c>
    </row>
    <row r="91" spans="1:10" x14ac:dyDescent="0.3">
      <c r="A91" t="s">
        <v>123</v>
      </c>
      <c r="B91" s="1">
        <v>46059</v>
      </c>
      <c r="C91" t="s">
        <v>8</v>
      </c>
      <c r="D91" t="s">
        <v>58</v>
      </c>
      <c r="E91">
        <v>5</v>
      </c>
      <c r="F91">
        <v>1200</v>
      </c>
      <c r="G91" t="s">
        <v>543</v>
      </c>
      <c r="H91">
        <f t="shared" si="1"/>
        <v>6000</v>
      </c>
      <c r="I91" t="str">
        <f>IFERROR(VLOOKUP(D91,'product master'!A:C,2,FALSE),"Not Found")</f>
        <v>Keyboard</v>
      </c>
      <c r="J91" t="str">
        <f>IFERROR(VLOOKUP(D91,'product master'!A:C,3,FALSE),"Not Found")</f>
        <v>Accessories</v>
      </c>
    </row>
    <row r="92" spans="1:10" x14ac:dyDescent="0.3">
      <c r="A92" t="s">
        <v>124</v>
      </c>
      <c r="B92" s="1">
        <v>46059</v>
      </c>
      <c r="C92" t="s">
        <v>25</v>
      </c>
      <c r="D92" t="s">
        <v>9</v>
      </c>
      <c r="E92">
        <v>3</v>
      </c>
      <c r="F92">
        <v>7500</v>
      </c>
      <c r="G92" t="s">
        <v>47</v>
      </c>
      <c r="H92">
        <f t="shared" si="1"/>
        <v>22500</v>
      </c>
      <c r="I92" t="str">
        <f>IFERROR(VLOOKUP(D92,'product master'!A:C,2,FALSE),"Not Found")</f>
        <v>Office Chair</v>
      </c>
      <c r="J92" t="str">
        <f>IFERROR(VLOOKUP(D92,'product master'!A:C,3,FALSE),"Not Found")</f>
        <v>Furniture</v>
      </c>
    </row>
    <row r="93" spans="1:10" x14ac:dyDescent="0.3">
      <c r="A93" t="s">
        <v>125</v>
      </c>
      <c r="B93" s="1">
        <v>46059</v>
      </c>
      <c r="C93" t="s">
        <v>12</v>
      </c>
      <c r="D93" t="s">
        <v>58</v>
      </c>
      <c r="E93">
        <v>15</v>
      </c>
      <c r="F93">
        <v>1200</v>
      </c>
      <c r="G93" t="s">
        <v>43</v>
      </c>
      <c r="H93">
        <f t="shared" si="1"/>
        <v>18000</v>
      </c>
      <c r="I93" t="str">
        <f>IFERROR(VLOOKUP(D93,'product master'!A:C,2,FALSE),"Not Found")</f>
        <v>Keyboard</v>
      </c>
      <c r="J93" t="str">
        <f>IFERROR(VLOOKUP(D93,'product master'!A:C,3,FALSE),"Not Found")</f>
        <v>Accessories</v>
      </c>
    </row>
    <row r="94" spans="1:10" x14ac:dyDescent="0.3">
      <c r="A94" t="s">
        <v>126</v>
      </c>
      <c r="B94" s="1">
        <v>46059</v>
      </c>
      <c r="C94" t="s">
        <v>18</v>
      </c>
      <c r="D94" t="s">
        <v>58</v>
      </c>
      <c r="E94">
        <v>3</v>
      </c>
      <c r="F94">
        <v>1200</v>
      </c>
      <c r="G94" t="s">
        <v>20</v>
      </c>
      <c r="H94">
        <f t="shared" si="1"/>
        <v>3600</v>
      </c>
      <c r="I94" t="str">
        <f>IFERROR(VLOOKUP(D94,'product master'!A:C,2,FALSE),"Not Found")</f>
        <v>Keyboard</v>
      </c>
      <c r="J94" t="str">
        <f>IFERROR(VLOOKUP(D94,'product master'!A:C,3,FALSE),"Not Found")</f>
        <v>Accessories</v>
      </c>
    </row>
    <row r="95" spans="1:10" x14ac:dyDescent="0.3">
      <c r="A95" t="s">
        <v>127</v>
      </c>
      <c r="B95" s="1">
        <v>46060</v>
      </c>
      <c r="C95" t="s">
        <v>18</v>
      </c>
      <c r="D95" t="s">
        <v>22</v>
      </c>
      <c r="E95">
        <v>60</v>
      </c>
      <c r="F95">
        <v>320</v>
      </c>
      <c r="G95" t="s">
        <v>30</v>
      </c>
      <c r="H95">
        <f t="shared" si="1"/>
        <v>19200</v>
      </c>
      <c r="I95" t="str">
        <f>IFERROR(VLOOKUP(D95,'product master'!A:C,2,FALSE),"Not Found")</f>
        <v>Notebook Pack</v>
      </c>
      <c r="J95" t="str">
        <f>IFERROR(VLOOKUP(D95,'product master'!A:C,3,FALSE),"Not Found")</f>
        <v>Stationery</v>
      </c>
    </row>
    <row r="96" spans="1:10" x14ac:dyDescent="0.3">
      <c r="A96" t="s">
        <v>128</v>
      </c>
      <c r="B96" s="1">
        <v>46060</v>
      </c>
      <c r="C96" t="s">
        <v>18</v>
      </c>
      <c r="D96" t="s">
        <v>58</v>
      </c>
      <c r="E96">
        <v>15</v>
      </c>
      <c r="F96">
        <v>1200</v>
      </c>
      <c r="G96" t="s">
        <v>33</v>
      </c>
      <c r="H96">
        <f t="shared" si="1"/>
        <v>18000</v>
      </c>
      <c r="I96" t="str">
        <f>IFERROR(VLOOKUP(D96,'product master'!A:C,2,FALSE),"Not Found")</f>
        <v>Keyboard</v>
      </c>
      <c r="J96" t="str">
        <f>IFERROR(VLOOKUP(D96,'product master'!A:C,3,FALSE),"Not Found")</f>
        <v>Accessories</v>
      </c>
    </row>
    <row r="97" spans="1:10" x14ac:dyDescent="0.3">
      <c r="A97" t="s">
        <v>129</v>
      </c>
      <c r="B97" s="1">
        <v>46061</v>
      </c>
      <c r="C97" t="s">
        <v>18</v>
      </c>
      <c r="D97" t="s">
        <v>22</v>
      </c>
      <c r="E97">
        <v>72</v>
      </c>
      <c r="F97">
        <v>320</v>
      </c>
      <c r="G97" t="s">
        <v>20</v>
      </c>
      <c r="H97">
        <f t="shared" si="1"/>
        <v>23040</v>
      </c>
      <c r="I97" t="str">
        <f>IFERROR(VLOOKUP(D97,'product master'!A:C,2,FALSE),"Not Found")</f>
        <v>Notebook Pack</v>
      </c>
      <c r="J97" t="str">
        <f>IFERROR(VLOOKUP(D97,'product master'!A:C,3,FALSE),"Not Found")</f>
        <v>Stationery</v>
      </c>
    </row>
    <row r="98" spans="1:10" x14ac:dyDescent="0.3">
      <c r="A98" t="s">
        <v>130</v>
      </c>
      <c r="B98" s="1">
        <v>46062</v>
      </c>
      <c r="C98" t="s">
        <v>18</v>
      </c>
      <c r="D98" t="s">
        <v>58</v>
      </c>
      <c r="E98">
        <v>14</v>
      </c>
      <c r="F98">
        <v>1200</v>
      </c>
      <c r="G98" t="s">
        <v>20</v>
      </c>
      <c r="H98">
        <f t="shared" si="1"/>
        <v>16800</v>
      </c>
      <c r="I98" t="str">
        <f>IFERROR(VLOOKUP(D98,'product master'!A:C,2,FALSE),"Not Found")</f>
        <v>Keyboard</v>
      </c>
      <c r="J98" t="str">
        <f>IFERROR(VLOOKUP(D98,'product master'!A:C,3,FALSE),"Not Found")</f>
        <v>Accessories</v>
      </c>
    </row>
    <row r="99" spans="1:10" x14ac:dyDescent="0.3">
      <c r="A99" t="s">
        <v>131</v>
      </c>
      <c r="B99" s="1">
        <v>46062</v>
      </c>
      <c r="C99" t="s">
        <v>18</v>
      </c>
      <c r="D99" t="s">
        <v>13</v>
      </c>
      <c r="E99">
        <v>69</v>
      </c>
      <c r="F99">
        <v>180</v>
      </c>
      <c r="G99" t="s">
        <v>20</v>
      </c>
      <c r="H99">
        <f t="shared" si="1"/>
        <v>12420</v>
      </c>
      <c r="I99" t="str">
        <f>IFERROR(VLOOKUP(D99,'product master'!A:C,2,FALSE),"Not Found")</f>
        <v>Pen Box</v>
      </c>
      <c r="J99" t="str">
        <f>IFERROR(VLOOKUP(D99,'product master'!A:C,3,FALSE),"Not Found")</f>
        <v>Stationery</v>
      </c>
    </row>
    <row r="100" spans="1:10" x14ac:dyDescent="0.3">
      <c r="A100" t="s">
        <v>132</v>
      </c>
      <c r="B100" s="1">
        <v>46062</v>
      </c>
      <c r="C100" t="s">
        <v>18</v>
      </c>
      <c r="D100" t="s">
        <v>19</v>
      </c>
      <c r="E100">
        <v>2</v>
      </c>
      <c r="F100">
        <v>650</v>
      </c>
      <c r="G100" t="s">
        <v>30</v>
      </c>
      <c r="H100">
        <f t="shared" si="1"/>
        <v>1300</v>
      </c>
      <c r="I100" t="str">
        <f>IFERROR(VLOOKUP(D100,'product master'!A:C,2,FALSE),"Not Found")</f>
        <v>Wireless Mouse</v>
      </c>
      <c r="J100" t="str">
        <f>IFERROR(VLOOKUP(D100,'product master'!A:C,3,FALSE),"Not Found")</f>
        <v>Accessories</v>
      </c>
    </row>
    <row r="101" spans="1:10" x14ac:dyDescent="0.3">
      <c r="A101" t="s">
        <v>133</v>
      </c>
      <c r="B101" s="1">
        <v>46063</v>
      </c>
      <c r="C101" t="s">
        <v>25</v>
      </c>
      <c r="D101" t="s">
        <v>19</v>
      </c>
      <c r="E101">
        <v>10</v>
      </c>
      <c r="F101">
        <v>650</v>
      </c>
      <c r="G101" t="s">
        <v>47</v>
      </c>
      <c r="H101">
        <f t="shared" si="1"/>
        <v>6500</v>
      </c>
      <c r="I101" t="str">
        <f>IFERROR(VLOOKUP(D101,'product master'!A:C,2,FALSE),"Not Found")</f>
        <v>Wireless Mouse</v>
      </c>
      <c r="J101" t="str">
        <f>IFERROR(VLOOKUP(D101,'product master'!A:C,3,FALSE),"Not Found")</f>
        <v>Accessories</v>
      </c>
    </row>
    <row r="102" spans="1:10" x14ac:dyDescent="0.3">
      <c r="A102" t="s">
        <v>134</v>
      </c>
      <c r="B102" s="1">
        <v>46063</v>
      </c>
      <c r="C102" t="s">
        <v>12</v>
      </c>
      <c r="D102" t="s">
        <v>19</v>
      </c>
      <c r="E102">
        <v>11</v>
      </c>
      <c r="F102">
        <v>650</v>
      </c>
      <c r="G102" t="s">
        <v>43</v>
      </c>
      <c r="H102">
        <f t="shared" si="1"/>
        <v>7150</v>
      </c>
      <c r="I102" t="str">
        <f>IFERROR(VLOOKUP(D102,'product master'!A:C,2,FALSE),"Not Found")</f>
        <v>Wireless Mouse</v>
      </c>
      <c r="J102" t="str">
        <f>IFERROR(VLOOKUP(D102,'product master'!A:C,3,FALSE),"Not Found")</f>
        <v>Accessories</v>
      </c>
    </row>
    <row r="103" spans="1:10" x14ac:dyDescent="0.3">
      <c r="A103" t="s">
        <v>135</v>
      </c>
      <c r="B103" s="1">
        <v>46063</v>
      </c>
      <c r="C103" t="s">
        <v>12</v>
      </c>
      <c r="D103" t="s">
        <v>16</v>
      </c>
      <c r="E103">
        <v>4</v>
      </c>
      <c r="F103">
        <v>45000</v>
      </c>
      <c r="G103" t="s">
        <v>28</v>
      </c>
      <c r="H103">
        <f t="shared" si="1"/>
        <v>180000</v>
      </c>
      <c r="I103" t="str">
        <f>IFERROR(VLOOKUP(D103,'product master'!A:C,2,FALSE),"Not Found")</f>
        <v>Laptop</v>
      </c>
      <c r="J103" t="str">
        <f>IFERROR(VLOOKUP(D103,'product master'!A:C,3,FALSE),"Not Found")</f>
        <v>Electronics</v>
      </c>
    </row>
    <row r="104" spans="1:10" x14ac:dyDescent="0.3">
      <c r="A104" t="s">
        <v>136</v>
      </c>
      <c r="B104" s="1">
        <v>46063</v>
      </c>
      <c r="C104" t="s">
        <v>8</v>
      </c>
      <c r="D104" t="s">
        <v>22</v>
      </c>
      <c r="E104">
        <v>13</v>
      </c>
      <c r="F104">
        <v>320</v>
      </c>
      <c r="G104" t="s">
        <v>10</v>
      </c>
      <c r="H104">
        <f t="shared" si="1"/>
        <v>4160</v>
      </c>
      <c r="I104" t="str">
        <f>IFERROR(VLOOKUP(D104,'product master'!A:C,2,FALSE),"Not Found")</f>
        <v>Notebook Pack</v>
      </c>
      <c r="J104" t="str">
        <f>IFERROR(VLOOKUP(D104,'product master'!A:C,3,FALSE),"Not Found")</f>
        <v>Stationery</v>
      </c>
    </row>
    <row r="105" spans="1:10" x14ac:dyDescent="0.3">
      <c r="A105" t="s">
        <v>137</v>
      </c>
      <c r="B105" s="1">
        <v>46063</v>
      </c>
      <c r="C105" t="s">
        <v>18</v>
      </c>
      <c r="D105" t="s">
        <v>36</v>
      </c>
      <c r="E105">
        <v>2</v>
      </c>
      <c r="F105">
        <v>12000</v>
      </c>
      <c r="G105" t="s">
        <v>33</v>
      </c>
      <c r="H105">
        <f t="shared" si="1"/>
        <v>24000</v>
      </c>
      <c r="I105" t="str">
        <f>IFERROR(VLOOKUP(D105,'product master'!A:C,2,FALSE),"Not Found")</f>
        <v>Monitor</v>
      </c>
      <c r="J105" t="str">
        <f>IFERROR(VLOOKUP(D105,'product master'!A:C,3,FALSE),"Not Found")</f>
        <v>Electronics</v>
      </c>
    </row>
    <row r="106" spans="1:10" x14ac:dyDescent="0.3">
      <c r="A106" t="s">
        <v>138</v>
      </c>
      <c r="B106" s="1">
        <v>46064</v>
      </c>
      <c r="C106" t="s">
        <v>8</v>
      </c>
      <c r="D106" t="s">
        <v>22</v>
      </c>
      <c r="E106">
        <v>40</v>
      </c>
      <c r="F106">
        <v>320</v>
      </c>
      <c r="G106" t="s">
        <v>49</v>
      </c>
      <c r="H106">
        <f t="shared" si="1"/>
        <v>12800</v>
      </c>
      <c r="I106" t="str">
        <f>IFERROR(VLOOKUP(D106,'product master'!A:C,2,FALSE),"Not Found")</f>
        <v>Notebook Pack</v>
      </c>
      <c r="J106" t="str">
        <f>IFERROR(VLOOKUP(D106,'product master'!A:C,3,FALSE),"Not Found")</f>
        <v>Stationery</v>
      </c>
    </row>
    <row r="107" spans="1:10" x14ac:dyDescent="0.3">
      <c r="A107" t="s">
        <v>139</v>
      </c>
      <c r="B107" s="1">
        <v>46065</v>
      </c>
      <c r="C107" t="s">
        <v>25</v>
      </c>
      <c r="D107" t="s">
        <v>36</v>
      </c>
      <c r="E107">
        <v>4</v>
      </c>
      <c r="F107">
        <v>12000</v>
      </c>
      <c r="G107" t="s">
        <v>26</v>
      </c>
      <c r="H107">
        <f t="shared" si="1"/>
        <v>48000</v>
      </c>
      <c r="I107" t="str">
        <f>IFERROR(VLOOKUP(D107,'product master'!A:C,2,FALSE),"Not Found")</f>
        <v>Monitor</v>
      </c>
      <c r="J107" t="str">
        <f>IFERROR(VLOOKUP(D107,'product master'!A:C,3,FALSE),"Not Found")</f>
        <v>Electronics</v>
      </c>
    </row>
    <row r="108" spans="1:10" x14ac:dyDescent="0.3">
      <c r="A108" t="s">
        <v>140</v>
      </c>
      <c r="B108" s="1">
        <v>46065</v>
      </c>
      <c r="C108" t="s">
        <v>8</v>
      </c>
      <c r="D108" t="s">
        <v>41</v>
      </c>
      <c r="E108">
        <v>1</v>
      </c>
      <c r="F108">
        <v>9800</v>
      </c>
      <c r="G108" t="s">
        <v>49</v>
      </c>
      <c r="H108">
        <f t="shared" si="1"/>
        <v>9800</v>
      </c>
      <c r="I108" t="str">
        <f>IFERROR(VLOOKUP(D108,'product master'!A:C,2,FALSE),"Not Found")</f>
        <v>Study Desk</v>
      </c>
      <c r="J108" t="str">
        <f>IFERROR(VLOOKUP(D108,'product master'!A:C,3,FALSE),"Not Found")</f>
        <v>Furniture</v>
      </c>
    </row>
    <row r="109" spans="1:10" x14ac:dyDescent="0.3">
      <c r="A109" t="s">
        <v>141</v>
      </c>
      <c r="B109" s="1">
        <v>46065</v>
      </c>
      <c r="C109" t="s">
        <v>18</v>
      </c>
      <c r="D109" t="s">
        <v>13</v>
      </c>
      <c r="E109">
        <v>48</v>
      </c>
      <c r="F109">
        <v>180</v>
      </c>
      <c r="G109" t="s">
        <v>30</v>
      </c>
      <c r="H109">
        <f t="shared" si="1"/>
        <v>8640</v>
      </c>
      <c r="I109" t="str">
        <f>IFERROR(VLOOKUP(D109,'product master'!A:C,2,FALSE),"Not Found")</f>
        <v>Pen Box</v>
      </c>
      <c r="J109" t="str">
        <f>IFERROR(VLOOKUP(D109,'product master'!A:C,3,FALSE),"Not Found")</f>
        <v>Stationery</v>
      </c>
    </row>
    <row r="110" spans="1:10" x14ac:dyDescent="0.3">
      <c r="A110" t="s">
        <v>142</v>
      </c>
      <c r="B110" s="1">
        <v>46066</v>
      </c>
      <c r="C110" t="s">
        <v>25</v>
      </c>
      <c r="D110" t="s">
        <v>16</v>
      </c>
      <c r="E110">
        <v>4</v>
      </c>
      <c r="F110">
        <v>45000</v>
      </c>
      <c r="G110" t="s">
        <v>39</v>
      </c>
      <c r="H110">
        <f t="shared" si="1"/>
        <v>180000</v>
      </c>
      <c r="I110" t="str">
        <f>IFERROR(VLOOKUP(D110,'product master'!A:C,2,FALSE),"Not Found")</f>
        <v>Laptop</v>
      </c>
      <c r="J110" t="str">
        <f>IFERROR(VLOOKUP(D110,'product master'!A:C,3,FALSE),"Not Found")</f>
        <v>Electronics</v>
      </c>
    </row>
    <row r="111" spans="1:10" x14ac:dyDescent="0.3">
      <c r="A111" t="s">
        <v>143</v>
      </c>
      <c r="B111" s="1">
        <v>46066</v>
      </c>
      <c r="C111" t="s">
        <v>8</v>
      </c>
      <c r="D111" t="s">
        <v>16</v>
      </c>
      <c r="E111">
        <v>3</v>
      </c>
      <c r="F111">
        <v>45000</v>
      </c>
      <c r="G111" t="s">
        <v>49</v>
      </c>
      <c r="H111">
        <f t="shared" si="1"/>
        <v>135000</v>
      </c>
      <c r="I111" t="str">
        <f>IFERROR(VLOOKUP(D111,'product master'!A:C,2,FALSE),"Not Found")</f>
        <v>Laptop</v>
      </c>
      <c r="J111" t="str">
        <f>IFERROR(VLOOKUP(D111,'product master'!A:C,3,FALSE),"Not Found")</f>
        <v>Electronics</v>
      </c>
    </row>
    <row r="112" spans="1:10" x14ac:dyDescent="0.3">
      <c r="A112" t="s">
        <v>144</v>
      </c>
      <c r="B112" s="1">
        <v>46066</v>
      </c>
      <c r="C112" t="s">
        <v>25</v>
      </c>
      <c r="D112" t="s">
        <v>9</v>
      </c>
      <c r="E112">
        <v>1</v>
      </c>
      <c r="F112">
        <v>7500</v>
      </c>
      <c r="G112" t="s">
        <v>26</v>
      </c>
      <c r="H112">
        <f t="shared" si="1"/>
        <v>7500</v>
      </c>
      <c r="I112" t="str">
        <f>IFERROR(VLOOKUP(D112,'product master'!A:C,2,FALSE),"Not Found")</f>
        <v>Office Chair</v>
      </c>
      <c r="J112" t="str">
        <f>IFERROR(VLOOKUP(D112,'product master'!A:C,3,FALSE),"Not Found")</f>
        <v>Furniture</v>
      </c>
    </row>
    <row r="113" spans="1:10" x14ac:dyDescent="0.3">
      <c r="A113" t="s">
        <v>145</v>
      </c>
      <c r="B113" s="1">
        <v>46067</v>
      </c>
      <c r="C113" t="s">
        <v>12</v>
      </c>
      <c r="D113" t="s">
        <v>19</v>
      </c>
      <c r="E113">
        <v>4</v>
      </c>
      <c r="F113">
        <v>650</v>
      </c>
      <c r="G113" t="s">
        <v>43</v>
      </c>
      <c r="H113">
        <f t="shared" si="1"/>
        <v>2600</v>
      </c>
      <c r="I113" t="str">
        <f>IFERROR(VLOOKUP(D113,'product master'!A:C,2,FALSE),"Not Found")</f>
        <v>Wireless Mouse</v>
      </c>
      <c r="J113" t="str">
        <f>IFERROR(VLOOKUP(D113,'product master'!A:C,3,FALSE),"Not Found")</f>
        <v>Accessories</v>
      </c>
    </row>
    <row r="114" spans="1:10" x14ac:dyDescent="0.3">
      <c r="A114" t="s">
        <v>146</v>
      </c>
      <c r="B114" s="1">
        <v>46067</v>
      </c>
      <c r="C114" t="s">
        <v>8</v>
      </c>
      <c r="D114" t="s">
        <v>36</v>
      </c>
      <c r="E114">
        <v>5</v>
      </c>
      <c r="F114">
        <v>12000</v>
      </c>
      <c r="G114" t="s">
        <v>49</v>
      </c>
      <c r="H114">
        <f t="shared" si="1"/>
        <v>60000</v>
      </c>
      <c r="I114" t="str">
        <f>IFERROR(VLOOKUP(D114,'product master'!A:C,2,FALSE),"Not Found")</f>
        <v>Monitor</v>
      </c>
      <c r="J114" t="str">
        <f>IFERROR(VLOOKUP(D114,'product master'!A:C,3,FALSE),"Not Found")</f>
        <v>Electronics</v>
      </c>
    </row>
    <row r="115" spans="1:10" x14ac:dyDescent="0.3">
      <c r="A115" t="s">
        <v>147</v>
      </c>
      <c r="B115" s="1">
        <v>46067</v>
      </c>
      <c r="C115" t="s">
        <v>18</v>
      </c>
      <c r="D115" t="s">
        <v>58</v>
      </c>
      <c r="E115">
        <v>14</v>
      </c>
      <c r="F115">
        <v>1200</v>
      </c>
      <c r="G115" t="s">
        <v>33</v>
      </c>
      <c r="H115">
        <f t="shared" si="1"/>
        <v>16800</v>
      </c>
      <c r="I115" t="str">
        <f>IFERROR(VLOOKUP(D115,'product master'!A:C,2,FALSE),"Not Found")</f>
        <v>Keyboard</v>
      </c>
      <c r="J115" t="str">
        <f>IFERROR(VLOOKUP(D115,'product master'!A:C,3,FALSE),"Not Found")</f>
        <v>Accessories</v>
      </c>
    </row>
    <row r="116" spans="1:10" x14ac:dyDescent="0.3">
      <c r="A116" t="s">
        <v>148</v>
      </c>
      <c r="B116" s="1">
        <v>46068</v>
      </c>
      <c r="C116" t="s">
        <v>12</v>
      </c>
      <c r="D116" t="s">
        <v>19</v>
      </c>
      <c r="E116">
        <v>10</v>
      </c>
      <c r="F116">
        <v>650</v>
      </c>
      <c r="G116" t="s">
        <v>14</v>
      </c>
      <c r="H116">
        <f t="shared" si="1"/>
        <v>6500</v>
      </c>
      <c r="I116" t="str">
        <f>IFERROR(VLOOKUP(D116,'product master'!A:C,2,FALSE),"Not Found")</f>
        <v>Wireless Mouse</v>
      </c>
      <c r="J116" t="str">
        <f>IFERROR(VLOOKUP(D116,'product master'!A:C,3,FALSE),"Not Found")</f>
        <v>Accessories</v>
      </c>
    </row>
    <row r="117" spans="1:10" x14ac:dyDescent="0.3">
      <c r="A117" t="s">
        <v>149</v>
      </c>
      <c r="B117" s="1">
        <v>46068</v>
      </c>
      <c r="C117" t="s">
        <v>25</v>
      </c>
      <c r="D117" t="s">
        <v>58</v>
      </c>
      <c r="E117">
        <v>19</v>
      </c>
      <c r="F117">
        <v>1200</v>
      </c>
      <c r="G117" t="s">
        <v>39</v>
      </c>
      <c r="H117">
        <f t="shared" si="1"/>
        <v>22800</v>
      </c>
      <c r="I117" t="str">
        <f>IFERROR(VLOOKUP(D117,'product master'!A:C,2,FALSE),"Not Found")</f>
        <v>Keyboard</v>
      </c>
      <c r="J117" t="str">
        <f>IFERROR(VLOOKUP(D117,'product master'!A:C,3,FALSE),"Not Found")</f>
        <v>Accessories</v>
      </c>
    </row>
    <row r="118" spans="1:10" x14ac:dyDescent="0.3">
      <c r="A118" t="s">
        <v>150</v>
      </c>
      <c r="B118" s="1">
        <v>46069</v>
      </c>
      <c r="C118" t="s">
        <v>8</v>
      </c>
      <c r="D118" t="s">
        <v>22</v>
      </c>
      <c r="E118">
        <v>56</v>
      </c>
      <c r="F118">
        <v>320</v>
      </c>
      <c r="G118" t="s">
        <v>23</v>
      </c>
      <c r="H118">
        <f t="shared" si="1"/>
        <v>17920</v>
      </c>
      <c r="I118" t="str">
        <f>IFERROR(VLOOKUP(D118,'product master'!A:C,2,FALSE),"Not Found")</f>
        <v>Notebook Pack</v>
      </c>
      <c r="J118" t="str">
        <f>IFERROR(VLOOKUP(D118,'product master'!A:C,3,FALSE),"Not Found")</f>
        <v>Stationery</v>
      </c>
    </row>
    <row r="119" spans="1:10" x14ac:dyDescent="0.3">
      <c r="A119" t="s">
        <v>151</v>
      </c>
      <c r="B119" s="1">
        <v>46069</v>
      </c>
      <c r="C119" t="s">
        <v>18</v>
      </c>
      <c r="D119" t="s">
        <v>19</v>
      </c>
      <c r="E119">
        <v>15</v>
      </c>
      <c r="F119">
        <v>650</v>
      </c>
      <c r="G119" t="s">
        <v>30</v>
      </c>
      <c r="H119">
        <f t="shared" si="1"/>
        <v>9750</v>
      </c>
      <c r="I119" t="str">
        <f>IFERROR(VLOOKUP(D119,'product master'!A:C,2,FALSE),"Not Found")</f>
        <v>Wireless Mouse</v>
      </c>
      <c r="J119" t="str">
        <f>IFERROR(VLOOKUP(D119,'product master'!A:C,3,FALSE),"Not Found")</f>
        <v>Accessories</v>
      </c>
    </row>
    <row r="120" spans="1:10" x14ac:dyDescent="0.3">
      <c r="A120" t="s">
        <v>152</v>
      </c>
      <c r="B120" s="1">
        <v>46069</v>
      </c>
      <c r="C120" t="s">
        <v>12</v>
      </c>
      <c r="D120" t="s">
        <v>13</v>
      </c>
      <c r="E120">
        <v>74</v>
      </c>
      <c r="F120">
        <v>180</v>
      </c>
      <c r="G120" t="s">
        <v>28</v>
      </c>
      <c r="H120">
        <f t="shared" si="1"/>
        <v>13320</v>
      </c>
      <c r="I120" t="str">
        <f>IFERROR(VLOOKUP(D120,'product master'!A:C,2,FALSE),"Not Found")</f>
        <v>Pen Box</v>
      </c>
      <c r="J120" t="str">
        <f>IFERROR(VLOOKUP(D120,'product master'!A:C,3,FALSE),"Not Found")</f>
        <v>Stationery</v>
      </c>
    </row>
    <row r="121" spans="1:10" x14ac:dyDescent="0.3">
      <c r="A121" t="s">
        <v>153</v>
      </c>
      <c r="B121" s="1">
        <v>46070</v>
      </c>
      <c r="C121" t="s">
        <v>25</v>
      </c>
      <c r="D121" t="s">
        <v>16</v>
      </c>
      <c r="E121">
        <v>3</v>
      </c>
      <c r="F121">
        <v>45000</v>
      </c>
      <c r="G121" t="s">
        <v>26</v>
      </c>
      <c r="H121">
        <f t="shared" si="1"/>
        <v>135000</v>
      </c>
      <c r="I121" t="str">
        <f>IFERROR(VLOOKUP(D121,'product master'!A:C,2,FALSE),"Not Found")</f>
        <v>Laptop</v>
      </c>
      <c r="J121" t="str">
        <f>IFERROR(VLOOKUP(D121,'product master'!A:C,3,FALSE),"Not Found")</f>
        <v>Electronics</v>
      </c>
    </row>
    <row r="122" spans="1:10" x14ac:dyDescent="0.3">
      <c r="A122" t="s">
        <v>154</v>
      </c>
      <c r="B122" s="1">
        <v>46070</v>
      </c>
      <c r="C122" t="s">
        <v>12</v>
      </c>
      <c r="D122" t="s">
        <v>22</v>
      </c>
      <c r="E122">
        <v>13</v>
      </c>
      <c r="F122">
        <v>320</v>
      </c>
      <c r="G122" t="s">
        <v>43</v>
      </c>
      <c r="H122">
        <f t="shared" si="1"/>
        <v>4160</v>
      </c>
      <c r="I122" t="str">
        <f>IFERROR(VLOOKUP(D122,'product master'!A:C,2,FALSE),"Not Found")</f>
        <v>Notebook Pack</v>
      </c>
      <c r="J122" t="str">
        <f>IFERROR(VLOOKUP(D122,'product master'!A:C,3,FALSE),"Not Found")</f>
        <v>Stationery</v>
      </c>
    </row>
    <row r="123" spans="1:10" x14ac:dyDescent="0.3">
      <c r="A123" t="s">
        <v>155</v>
      </c>
      <c r="B123" s="1">
        <v>46070</v>
      </c>
      <c r="C123" t="s">
        <v>25</v>
      </c>
      <c r="D123" t="s">
        <v>36</v>
      </c>
      <c r="E123">
        <v>5</v>
      </c>
      <c r="F123">
        <v>12000</v>
      </c>
      <c r="G123" t="s">
        <v>47</v>
      </c>
      <c r="H123">
        <f t="shared" si="1"/>
        <v>60000</v>
      </c>
      <c r="I123" t="str">
        <f>IFERROR(VLOOKUP(D123,'product master'!A:C,2,FALSE),"Not Found")</f>
        <v>Monitor</v>
      </c>
      <c r="J123" t="str">
        <f>IFERROR(VLOOKUP(D123,'product master'!A:C,3,FALSE),"Not Found")</f>
        <v>Electronics</v>
      </c>
    </row>
    <row r="124" spans="1:10" x14ac:dyDescent="0.3">
      <c r="A124" t="s">
        <v>156</v>
      </c>
      <c r="B124" s="1">
        <v>46071</v>
      </c>
      <c r="C124" t="s">
        <v>12</v>
      </c>
      <c r="D124" t="s">
        <v>41</v>
      </c>
      <c r="E124">
        <v>1</v>
      </c>
      <c r="F124">
        <v>9800</v>
      </c>
      <c r="G124" t="s">
        <v>43</v>
      </c>
      <c r="H124">
        <f t="shared" si="1"/>
        <v>9800</v>
      </c>
      <c r="I124" t="str">
        <f>IFERROR(VLOOKUP(D124,'product master'!A:C,2,FALSE),"Not Found")</f>
        <v>Study Desk</v>
      </c>
      <c r="J124" t="str">
        <f>IFERROR(VLOOKUP(D124,'product master'!A:C,3,FALSE),"Not Found")</f>
        <v>Furniture</v>
      </c>
    </row>
    <row r="125" spans="1:10" x14ac:dyDescent="0.3">
      <c r="A125" t="s">
        <v>157</v>
      </c>
      <c r="B125" s="1">
        <v>46071</v>
      </c>
      <c r="C125" t="s">
        <v>12</v>
      </c>
      <c r="D125" t="s">
        <v>16</v>
      </c>
      <c r="E125">
        <v>2</v>
      </c>
      <c r="F125">
        <v>45000</v>
      </c>
      <c r="G125" t="s">
        <v>28</v>
      </c>
      <c r="H125">
        <f t="shared" si="1"/>
        <v>90000</v>
      </c>
      <c r="I125" t="str">
        <f>IFERROR(VLOOKUP(D125,'product master'!A:C,2,FALSE),"Not Found")</f>
        <v>Laptop</v>
      </c>
      <c r="J125" t="str">
        <f>IFERROR(VLOOKUP(D125,'product master'!A:C,3,FALSE),"Not Found")</f>
        <v>Electronics</v>
      </c>
    </row>
    <row r="126" spans="1:10" x14ac:dyDescent="0.3">
      <c r="A126" t="s">
        <v>158</v>
      </c>
      <c r="B126" s="1">
        <v>46072</v>
      </c>
      <c r="C126" t="s">
        <v>25</v>
      </c>
      <c r="D126" t="s">
        <v>41</v>
      </c>
      <c r="E126">
        <v>2</v>
      </c>
      <c r="F126">
        <v>9800</v>
      </c>
      <c r="G126" t="s">
        <v>39</v>
      </c>
      <c r="H126">
        <f t="shared" si="1"/>
        <v>19600</v>
      </c>
      <c r="I126" t="str">
        <f>IFERROR(VLOOKUP(D126,'product master'!A:C,2,FALSE),"Not Found")</f>
        <v>Study Desk</v>
      </c>
      <c r="J126" t="str">
        <f>IFERROR(VLOOKUP(D126,'product master'!A:C,3,FALSE),"Not Found")</f>
        <v>Furniture</v>
      </c>
    </row>
    <row r="127" spans="1:10" x14ac:dyDescent="0.3">
      <c r="A127" t="s">
        <v>159</v>
      </c>
      <c r="B127" s="1">
        <v>46073</v>
      </c>
      <c r="C127" t="s">
        <v>18</v>
      </c>
      <c r="D127" t="s">
        <v>9</v>
      </c>
      <c r="E127">
        <v>5</v>
      </c>
      <c r="F127">
        <v>7500</v>
      </c>
      <c r="G127" t="s">
        <v>33</v>
      </c>
      <c r="H127">
        <f t="shared" si="1"/>
        <v>37500</v>
      </c>
      <c r="I127" t="str">
        <f>IFERROR(VLOOKUP(D127,'product master'!A:C,2,FALSE),"Not Found")</f>
        <v>Office Chair</v>
      </c>
      <c r="J127" t="str">
        <f>IFERROR(VLOOKUP(D127,'product master'!A:C,3,FALSE),"Not Found")</f>
        <v>Furniture</v>
      </c>
    </row>
    <row r="128" spans="1:10" x14ac:dyDescent="0.3">
      <c r="A128" t="s">
        <v>160</v>
      </c>
      <c r="B128" s="1">
        <v>46074</v>
      </c>
      <c r="C128" t="s">
        <v>25</v>
      </c>
      <c r="D128" t="s">
        <v>13</v>
      </c>
      <c r="E128">
        <v>69</v>
      </c>
      <c r="F128">
        <v>180</v>
      </c>
      <c r="G128" t="s">
        <v>39</v>
      </c>
      <c r="H128">
        <f t="shared" si="1"/>
        <v>12420</v>
      </c>
      <c r="I128" t="str">
        <f>IFERROR(VLOOKUP(D128,'product master'!A:C,2,FALSE),"Not Found")</f>
        <v>Pen Box</v>
      </c>
      <c r="J128" t="str">
        <f>IFERROR(VLOOKUP(D128,'product master'!A:C,3,FALSE),"Not Found")</f>
        <v>Stationery</v>
      </c>
    </row>
    <row r="129" spans="1:10" x14ac:dyDescent="0.3">
      <c r="A129" t="s">
        <v>161</v>
      </c>
      <c r="B129" s="1">
        <v>46075</v>
      </c>
      <c r="C129" t="s">
        <v>12</v>
      </c>
      <c r="D129" t="s">
        <v>19</v>
      </c>
      <c r="E129">
        <v>20</v>
      </c>
      <c r="F129">
        <v>650</v>
      </c>
      <c r="G129" t="s">
        <v>14</v>
      </c>
      <c r="H129">
        <f t="shared" si="1"/>
        <v>13000</v>
      </c>
      <c r="I129" t="str">
        <f>IFERROR(VLOOKUP(D129,'product master'!A:C,2,FALSE),"Not Found")</f>
        <v>Wireless Mouse</v>
      </c>
      <c r="J129" t="str">
        <f>IFERROR(VLOOKUP(D129,'product master'!A:C,3,FALSE),"Not Found")</f>
        <v>Accessories</v>
      </c>
    </row>
    <row r="130" spans="1:10" x14ac:dyDescent="0.3">
      <c r="A130" t="s">
        <v>162</v>
      </c>
      <c r="B130" s="1">
        <v>46075</v>
      </c>
      <c r="C130" t="s">
        <v>18</v>
      </c>
      <c r="D130" t="s">
        <v>9</v>
      </c>
      <c r="E130">
        <v>6</v>
      </c>
      <c r="F130">
        <v>7500</v>
      </c>
      <c r="G130" t="s">
        <v>20</v>
      </c>
      <c r="H130">
        <f t="shared" ref="H130:H193" si="2">E130*F130</f>
        <v>45000</v>
      </c>
      <c r="I130" t="str">
        <f>IFERROR(VLOOKUP(D130,'product master'!A:C,2,FALSE),"Not Found")</f>
        <v>Office Chair</v>
      </c>
      <c r="J130" t="str">
        <f>IFERROR(VLOOKUP(D130,'product master'!A:C,3,FALSE),"Not Found")</f>
        <v>Furniture</v>
      </c>
    </row>
    <row r="131" spans="1:10" x14ac:dyDescent="0.3">
      <c r="A131" t="s">
        <v>163</v>
      </c>
      <c r="B131" s="1">
        <v>46076</v>
      </c>
      <c r="C131" t="s">
        <v>12</v>
      </c>
      <c r="D131" t="s">
        <v>41</v>
      </c>
      <c r="E131">
        <v>3</v>
      </c>
      <c r="F131">
        <v>9800</v>
      </c>
      <c r="G131" t="s">
        <v>43</v>
      </c>
      <c r="H131">
        <f t="shared" si="2"/>
        <v>29400</v>
      </c>
      <c r="I131" t="str">
        <f>IFERROR(VLOOKUP(D131,'product master'!A:C,2,FALSE),"Not Found")</f>
        <v>Study Desk</v>
      </c>
      <c r="J131" t="str">
        <f>IFERROR(VLOOKUP(D131,'product master'!A:C,3,FALSE),"Not Found")</f>
        <v>Furniture</v>
      </c>
    </row>
    <row r="132" spans="1:10" x14ac:dyDescent="0.3">
      <c r="A132" t="s">
        <v>164</v>
      </c>
      <c r="B132" s="1">
        <v>46077</v>
      </c>
      <c r="C132" t="s">
        <v>18</v>
      </c>
      <c r="D132" t="s">
        <v>58</v>
      </c>
      <c r="E132">
        <v>15</v>
      </c>
      <c r="F132">
        <v>1200</v>
      </c>
      <c r="G132" t="s">
        <v>20</v>
      </c>
      <c r="H132">
        <f t="shared" si="2"/>
        <v>18000</v>
      </c>
      <c r="I132" t="str">
        <f>IFERROR(VLOOKUP(D132,'product master'!A:C,2,FALSE),"Not Found")</f>
        <v>Keyboard</v>
      </c>
      <c r="J132" t="str">
        <f>IFERROR(VLOOKUP(D132,'product master'!A:C,3,FALSE),"Not Found")</f>
        <v>Accessories</v>
      </c>
    </row>
    <row r="133" spans="1:10" x14ac:dyDescent="0.3">
      <c r="A133" t="s">
        <v>165</v>
      </c>
      <c r="B133" s="1">
        <v>46077</v>
      </c>
      <c r="C133" t="s">
        <v>8</v>
      </c>
      <c r="D133" t="s">
        <v>19</v>
      </c>
      <c r="E133">
        <v>12</v>
      </c>
      <c r="F133">
        <v>650</v>
      </c>
      <c r="G133" t="s">
        <v>49</v>
      </c>
      <c r="H133">
        <f t="shared" si="2"/>
        <v>7800</v>
      </c>
      <c r="I133" t="str">
        <f>IFERROR(VLOOKUP(D133,'product master'!A:C,2,FALSE),"Not Found")</f>
        <v>Wireless Mouse</v>
      </c>
      <c r="J133" t="str">
        <f>IFERROR(VLOOKUP(D133,'product master'!A:C,3,FALSE),"Not Found")</f>
        <v>Accessories</v>
      </c>
    </row>
    <row r="134" spans="1:10" x14ac:dyDescent="0.3">
      <c r="A134" t="s">
        <v>166</v>
      </c>
      <c r="B134" s="1">
        <v>46077</v>
      </c>
      <c r="C134" t="s">
        <v>25</v>
      </c>
      <c r="D134" t="s">
        <v>13</v>
      </c>
      <c r="E134">
        <v>68</v>
      </c>
      <c r="F134">
        <v>180</v>
      </c>
      <c r="G134" t="s">
        <v>39</v>
      </c>
      <c r="H134">
        <f t="shared" si="2"/>
        <v>12240</v>
      </c>
      <c r="I134" t="str">
        <f>IFERROR(VLOOKUP(D134,'product master'!A:C,2,FALSE),"Not Found")</f>
        <v>Pen Box</v>
      </c>
      <c r="J134" t="str">
        <f>IFERROR(VLOOKUP(D134,'product master'!A:C,3,FALSE),"Not Found")</f>
        <v>Stationery</v>
      </c>
    </row>
    <row r="135" spans="1:10" x14ac:dyDescent="0.3">
      <c r="A135" t="s">
        <v>167</v>
      </c>
      <c r="B135" s="1">
        <v>46077</v>
      </c>
      <c r="C135" t="s">
        <v>8</v>
      </c>
      <c r="D135" t="s">
        <v>58</v>
      </c>
      <c r="E135">
        <v>14</v>
      </c>
      <c r="F135">
        <v>1200</v>
      </c>
      <c r="G135" t="s">
        <v>23</v>
      </c>
      <c r="H135">
        <f t="shared" si="2"/>
        <v>16800</v>
      </c>
      <c r="I135" t="str">
        <f>IFERROR(VLOOKUP(D135,'product master'!A:C,2,FALSE),"Not Found")</f>
        <v>Keyboard</v>
      </c>
      <c r="J135" t="str">
        <f>IFERROR(VLOOKUP(D135,'product master'!A:C,3,FALSE),"Not Found")</f>
        <v>Accessories</v>
      </c>
    </row>
    <row r="136" spans="1:10" x14ac:dyDescent="0.3">
      <c r="A136" t="s">
        <v>168</v>
      </c>
      <c r="B136" s="1">
        <v>46078</v>
      </c>
      <c r="C136" t="s">
        <v>25</v>
      </c>
      <c r="D136" t="s">
        <v>36</v>
      </c>
      <c r="E136">
        <v>4</v>
      </c>
      <c r="F136">
        <v>12000</v>
      </c>
      <c r="G136" t="s">
        <v>39</v>
      </c>
      <c r="H136">
        <f t="shared" si="2"/>
        <v>48000</v>
      </c>
      <c r="I136" t="str">
        <f>IFERROR(VLOOKUP(D136,'product master'!A:C,2,FALSE),"Not Found")</f>
        <v>Monitor</v>
      </c>
      <c r="J136" t="str">
        <f>IFERROR(VLOOKUP(D136,'product master'!A:C,3,FALSE),"Not Found")</f>
        <v>Electronics</v>
      </c>
    </row>
    <row r="137" spans="1:10" x14ac:dyDescent="0.3">
      <c r="A137" t="s">
        <v>169</v>
      </c>
      <c r="B137" s="1">
        <v>46078</v>
      </c>
      <c r="C137" t="s">
        <v>25</v>
      </c>
      <c r="D137" t="s">
        <v>22</v>
      </c>
      <c r="E137">
        <v>65</v>
      </c>
      <c r="F137">
        <v>320</v>
      </c>
      <c r="G137" t="s">
        <v>47</v>
      </c>
      <c r="H137">
        <f t="shared" si="2"/>
        <v>20800</v>
      </c>
      <c r="I137" t="str">
        <f>IFERROR(VLOOKUP(D137,'product master'!A:C,2,FALSE),"Not Found")</f>
        <v>Notebook Pack</v>
      </c>
      <c r="J137" t="str">
        <f>IFERROR(VLOOKUP(D137,'product master'!A:C,3,FALSE),"Not Found")</f>
        <v>Stationery</v>
      </c>
    </row>
    <row r="138" spans="1:10" x14ac:dyDescent="0.3">
      <c r="A138" t="s">
        <v>170</v>
      </c>
      <c r="B138" s="1">
        <v>46078</v>
      </c>
      <c r="C138" t="s">
        <v>25</v>
      </c>
      <c r="D138" t="s">
        <v>19</v>
      </c>
      <c r="E138">
        <v>19</v>
      </c>
      <c r="F138">
        <v>650</v>
      </c>
      <c r="G138" t="s">
        <v>47</v>
      </c>
      <c r="H138">
        <f t="shared" si="2"/>
        <v>12350</v>
      </c>
      <c r="I138" t="str">
        <f>IFERROR(VLOOKUP(D138,'product master'!A:C,2,FALSE),"Not Found")</f>
        <v>Wireless Mouse</v>
      </c>
      <c r="J138" t="str">
        <f>IFERROR(VLOOKUP(D138,'product master'!A:C,3,FALSE),"Not Found")</f>
        <v>Accessories</v>
      </c>
    </row>
    <row r="139" spans="1:10" x14ac:dyDescent="0.3">
      <c r="A139" t="s">
        <v>171</v>
      </c>
      <c r="B139" s="1">
        <v>46079</v>
      </c>
      <c r="C139" t="s">
        <v>8</v>
      </c>
      <c r="D139" t="s">
        <v>51</v>
      </c>
      <c r="E139">
        <v>18</v>
      </c>
      <c r="F139">
        <v>2200</v>
      </c>
      <c r="G139" t="s">
        <v>10</v>
      </c>
      <c r="H139">
        <f t="shared" si="2"/>
        <v>39600</v>
      </c>
      <c r="I139" t="str">
        <f>IFERROR(VLOOKUP(D139,'product master'!A:C,2,FALSE),"Not Found")</f>
        <v>Headphones</v>
      </c>
      <c r="J139" t="str">
        <f>IFERROR(VLOOKUP(D139,'product master'!A:C,3,FALSE),"Not Found")</f>
        <v>Accessories</v>
      </c>
    </row>
    <row r="140" spans="1:10" x14ac:dyDescent="0.3">
      <c r="A140" t="s">
        <v>172</v>
      </c>
      <c r="B140" s="1">
        <v>46079</v>
      </c>
      <c r="C140" t="s">
        <v>12</v>
      </c>
      <c r="D140" t="s">
        <v>22</v>
      </c>
      <c r="E140">
        <v>13</v>
      </c>
      <c r="F140">
        <v>320</v>
      </c>
      <c r="G140" t="s">
        <v>14</v>
      </c>
      <c r="H140">
        <f t="shared" si="2"/>
        <v>4160</v>
      </c>
      <c r="I140" t="str">
        <f>IFERROR(VLOOKUP(D140,'product master'!A:C,2,FALSE),"Not Found")</f>
        <v>Notebook Pack</v>
      </c>
      <c r="J140" t="str">
        <f>IFERROR(VLOOKUP(D140,'product master'!A:C,3,FALSE),"Not Found")</f>
        <v>Stationery</v>
      </c>
    </row>
    <row r="141" spans="1:10" x14ac:dyDescent="0.3">
      <c r="A141" t="s">
        <v>173</v>
      </c>
      <c r="B141" s="1">
        <v>46079</v>
      </c>
      <c r="C141" t="s">
        <v>8</v>
      </c>
      <c r="D141" t="s">
        <v>36</v>
      </c>
      <c r="E141">
        <v>1</v>
      </c>
      <c r="F141">
        <v>12000</v>
      </c>
      <c r="G141" t="s">
        <v>10</v>
      </c>
      <c r="H141">
        <f t="shared" si="2"/>
        <v>12000</v>
      </c>
      <c r="I141" t="str">
        <f>IFERROR(VLOOKUP(D141,'product master'!A:C,2,FALSE),"Not Found")</f>
        <v>Monitor</v>
      </c>
      <c r="J141" t="str">
        <f>IFERROR(VLOOKUP(D141,'product master'!A:C,3,FALSE),"Not Found")</f>
        <v>Electronics</v>
      </c>
    </row>
    <row r="142" spans="1:10" x14ac:dyDescent="0.3">
      <c r="A142" t="s">
        <v>174</v>
      </c>
      <c r="B142" s="1">
        <v>46080</v>
      </c>
      <c r="C142" t="s">
        <v>12</v>
      </c>
      <c r="D142" t="s">
        <v>58</v>
      </c>
      <c r="E142">
        <v>5</v>
      </c>
      <c r="F142">
        <v>1200</v>
      </c>
      <c r="G142" t="s">
        <v>43</v>
      </c>
      <c r="H142">
        <f t="shared" si="2"/>
        <v>6000</v>
      </c>
      <c r="I142" t="str">
        <f>IFERROR(VLOOKUP(D142,'product master'!A:C,2,FALSE),"Not Found")</f>
        <v>Keyboard</v>
      </c>
      <c r="J142" t="str">
        <f>IFERROR(VLOOKUP(D142,'product master'!A:C,3,FALSE),"Not Found")</f>
        <v>Accessories</v>
      </c>
    </row>
    <row r="143" spans="1:10" x14ac:dyDescent="0.3">
      <c r="A143" t="s">
        <v>175</v>
      </c>
      <c r="B143" s="1">
        <v>46080</v>
      </c>
      <c r="C143" t="s">
        <v>18</v>
      </c>
      <c r="D143" t="s">
        <v>16</v>
      </c>
      <c r="E143">
        <v>3</v>
      </c>
      <c r="F143">
        <v>45000</v>
      </c>
      <c r="G143" t="s">
        <v>30</v>
      </c>
      <c r="H143">
        <f t="shared" si="2"/>
        <v>135000</v>
      </c>
      <c r="I143" t="str">
        <f>IFERROR(VLOOKUP(D143,'product master'!A:C,2,FALSE),"Not Found")</f>
        <v>Laptop</v>
      </c>
      <c r="J143" t="str">
        <f>IFERROR(VLOOKUP(D143,'product master'!A:C,3,FALSE),"Not Found")</f>
        <v>Electronics</v>
      </c>
    </row>
    <row r="144" spans="1:10" x14ac:dyDescent="0.3">
      <c r="A144" t="s">
        <v>176</v>
      </c>
      <c r="B144" s="1">
        <v>46081</v>
      </c>
      <c r="C144" t="s">
        <v>18</v>
      </c>
      <c r="D144" t="s">
        <v>9</v>
      </c>
      <c r="E144">
        <v>6</v>
      </c>
      <c r="F144">
        <v>7500</v>
      </c>
      <c r="G144" t="s">
        <v>30</v>
      </c>
      <c r="H144">
        <f t="shared" si="2"/>
        <v>45000</v>
      </c>
      <c r="I144" t="str">
        <f>IFERROR(VLOOKUP(D144,'product master'!A:C,2,FALSE),"Not Found")</f>
        <v>Office Chair</v>
      </c>
      <c r="J144" t="str">
        <f>IFERROR(VLOOKUP(D144,'product master'!A:C,3,FALSE),"Not Found")</f>
        <v>Furniture</v>
      </c>
    </row>
    <row r="145" spans="1:10" x14ac:dyDescent="0.3">
      <c r="A145" t="s">
        <v>177</v>
      </c>
      <c r="B145" s="1">
        <v>46081</v>
      </c>
      <c r="C145" t="s">
        <v>8</v>
      </c>
      <c r="D145" t="s">
        <v>36</v>
      </c>
      <c r="E145">
        <v>4</v>
      </c>
      <c r="F145">
        <v>12000</v>
      </c>
      <c r="G145" t="s">
        <v>23</v>
      </c>
      <c r="H145">
        <f t="shared" si="2"/>
        <v>48000</v>
      </c>
      <c r="I145" t="str">
        <f>IFERROR(VLOOKUP(D145,'product master'!A:C,2,FALSE),"Not Found")</f>
        <v>Monitor</v>
      </c>
      <c r="J145" t="str">
        <f>IFERROR(VLOOKUP(D145,'product master'!A:C,3,FALSE),"Not Found")</f>
        <v>Electronics</v>
      </c>
    </row>
    <row r="146" spans="1:10" x14ac:dyDescent="0.3">
      <c r="A146" t="s">
        <v>178</v>
      </c>
      <c r="B146" s="1">
        <v>46081</v>
      </c>
      <c r="C146" t="s">
        <v>18</v>
      </c>
      <c r="D146" t="s">
        <v>16</v>
      </c>
      <c r="E146">
        <v>4</v>
      </c>
      <c r="F146">
        <v>45000</v>
      </c>
      <c r="G146" t="s">
        <v>20</v>
      </c>
      <c r="H146">
        <f t="shared" si="2"/>
        <v>180000</v>
      </c>
      <c r="I146" t="str">
        <f>IFERROR(VLOOKUP(D146,'product master'!A:C,2,FALSE),"Not Found")</f>
        <v>Laptop</v>
      </c>
      <c r="J146" t="str">
        <f>IFERROR(VLOOKUP(D146,'product master'!A:C,3,FALSE),"Not Found")</f>
        <v>Electronics</v>
      </c>
    </row>
    <row r="147" spans="1:10" x14ac:dyDescent="0.3">
      <c r="A147" t="s">
        <v>179</v>
      </c>
      <c r="B147" s="1">
        <v>46082</v>
      </c>
      <c r="C147" t="s">
        <v>25</v>
      </c>
      <c r="D147" t="s">
        <v>180</v>
      </c>
      <c r="E147">
        <v>3</v>
      </c>
      <c r="F147">
        <v>9500</v>
      </c>
      <c r="G147" t="s">
        <v>39</v>
      </c>
      <c r="H147">
        <f t="shared" si="2"/>
        <v>28500</v>
      </c>
      <c r="I147" t="str">
        <f>IFERROR(VLOOKUP(D147,'product master'!A:C,2,FALSE),"Not Found")</f>
        <v>Printer</v>
      </c>
      <c r="J147" t="str">
        <f>IFERROR(VLOOKUP(D147,'product master'!A:C,3,FALSE),"Not Found")</f>
        <v>Electronics</v>
      </c>
    </row>
    <row r="148" spans="1:10" x14ac:dyDescent="0.3">
      <c r="A148" t="s">
        <v>181</v>
      </c>
      <c r="B148" s="1">
        <v>46082</v>
      </c>
      <c r="C148" t="s">
        <v>18</v>
      </c>
      <c r="D148" t="s">
        <v>9</v>
      </c>
      <c r="E148">
        <v>6</v>
      </c>
      <c r="F148">
        <v>7500</v>
      </c>
      <c r="G148" t="s">
        <v>20</v>
      </c>
      <c r="H148">
        <f t="shared" si="2"/>
        <v>45000</v>
      </c>
      <c r="I148" t="str">
        <f>IFERROR(VLOOKUP(D148,'product master'!A:C,2,FALSE),"Not Found")</f>
        <v>Office Chair</v>
      </c>
      <c r="J148" t="str">
        <f>IFERROR(VLOOKUP(D148,'product master'!A:C,3,FALSE),"Not Found")</f>
        <v>Furniture</v>
      </c>
    </row>
    <row r="149" spans="1:10" x14ac:dyDescent="0.3">
      <c r="A149" t="s">
        <v>182</v>
      </c>
      <c r="B149" s="1">
        <v>46082</v>
      </c>
      <c r="C149" t="s">
        <v>25</v>
      </c>
      <c r="D149" t="s">
        <v>180</v>
      </c>
      <c r="E149">
        <v>5</v>
      </c>
      <c r="F149">
        <v>9500</v>
      </c>
      <c r="G149" t="s">
        <v>39</v>
      </c>
      <c r="H149">
        <f t="shared" si="2"/>
        <v>47500</v>
      </c>
      <c r="I149" t="str">
        <f>IFERROR(VLOOKUP(D149,'product master'!A:C,2,FALSE),"Not Found")</f>
        <v>Printer</v>
      </c>
      <c r="J149" t="str">
        <f>IFERROR(VLOOKUP(D149,'product master'!A:C,3,FALSE),"Not Found")</f>
        <v>Electronics</v>
      </c>
    </row>
    <row r="150" spans="1:10" x14ac:dyDescent="0.3">
      <c r="A150" t="s">
        <v>183</v>
      </c>
      <c r="B150" s="1">
        <v>46083</v>
      </c>
      <c r="C150" t="s">
        <v>18</v>
      </c>
      <c r="D150" t="s">
        <v>19</v>
      </c>
      <c r="E150">
        <v>14</v>
      </c>
      <c r="F150">
        <v>650</v>
      </c>
      <c r="G150" t="s">
        <v>33</v>
      </c>
      <c r="H150">
        <f t="shared" si="2"/>
        <v>9100</v>
      </c>
      <c r="I150" t="str">
        <f>IFERROR(VLOOKUP(D150,'product master'!A:C,2,FALSE),"Not Found")</f>
        <v>Wireless Mouse</v>
      </c>
      <c r="J150" t="str">
        <f>IFERROR(VLOOKUP(D150,'product master'!A:C,3,FALSE),"Not Found")</f>
        <v>Accessories</v>
      </c>
    </row>
    <row r="151" spans="1:10" x14ac:dyDescent="0.3">
      <c r="A151" t="s">
        <v>184</v>
      </c>
      <c r="B151" s="1">
        <v>46083</v>
      </c>
      <c r="C151" t="s">
        <v>12</v>
      </c>
      <c r="D151" t="s">
        <v>13</v>
      </c>
      <c r="E151">
        <v>10</v>
      </c>
      <c r="F151">
        <v>180</v>
      </c>
      <c r="G151" t="s">
        <v>43</v>
      </c>
      <c r="H151">
        <f t="shared" si="2"/>
        <v>1800</v>
      </c>
      <c r="I151" t="str">
        <f>IFERROR(VLOOKUP(D151,'product master'!A:C,2,FALSE),"Not Found")</f>
        <v>Pen Box</v>
      </c>
      <c r="J151" t="str">
        <f>IFERROR(VLOOKUP(D151,'product master'!A:C,3,FALSE),"Not Found")</f>
        <v>Stationery</v>
      </c>
    </row>
    <row r="152" spans="1:10" x14ac:dyDescent="0.3">
      <c r="A152" t="s">
        <v>185</v>
      </c>
      <c r="B152" s="1">
        <v>46083</v>
      </c>
      <c r="C152" t="s">
        <v>8</v>
      </c>
      <c r="D152" t="s">
        <v>180</v>
      </c>
      <c r="E152">
        <v>1</v>
      </c>
      <c r="F152">
        <v>9500</v>
      </c>
      <c r="G152" t="s">
        <v>10</v>
      </c>
      <c r="H152">
        <f t="shared" si="2"/>
        <v>9500</v>
      </c>
      <c r="I152" t="str">
        <f>IFERROR(VLOOKUP(D152,'product master'!A:C,2,FALSE),"Not Found")</f>
        <v>Printer</v>
      </c>
      <c r="J152" t="str">
        <f>IFERROR(VLOOKUP(D152,'product master'!A:C,3,FALSE),"Not Found")</f>
        <v>Electronics</v>
      </c>
    </row>
    <row r="153" spans="1:10" x14ac:dyDescent="0.3">
      <c r="A153" t="s">
        <v>186</v>
      </c>
      <c r="B153" s="1">
        <v>46083</v>
      </c>
      <c r="C153" t="s">
        <v>12</v>
      </c>
      <c r="D153" t="s">
        <v>58</v>
      </c>
      <c r="E153">
        <v>5</v>
      </c>
      <c r="F153">
        <v>1200</v>
      </c>
      <c r="G153" t="s">
        <v>43</v>
      </c>
      <c r="H153">
        <f t="shared" si="2"/>
        <v>6000</v>
      </c>
      <c r="I153" t="str">
        <f>IFERROR(VLOOKUP(D153,'product master'!A:C,2,FALSE),"Not Found")</f>
        <v>Keyboard</v>
      </c>
      <c r="J153" t="str">
        <f>IFERROR(VLOOKUP(D153,'product master'!A:C,3,FALSE),"Not Found")</f>
        <v>Accessories</v>
      </c>
    </row>
    <row r="154" spans="1:10" x14ac:dyDescent="0.3">
      <c r="A154" t="s">
        <v>187</v>
      </c>
      <c r="B154" s="1">
        <v>46084</v>
      </c>
      <c r="C154" t="s">
        <v>18</v>
      </c>
      <c r="D154" t="s">
        <v>19</v>
      </c>
      <c r="E154">
        <v>19</v>
      </c>
      <c r="F154">
        <v>650</v>
      </c>
      <c r="G154" t="s">
        <v>33</v>
      </c>
      <c r="H154">
        <f t="shared" si="2"/>
        <v>12350</v>
      </c>
      <c r="I154" t="str">
        <f>IFERROR(VLOOKUP(D154,'product master'!A:C,2,FALSE),"Not Found")</f>
        <v>Wireless Mouse</v>
      </c>
      <c r="J154" t="str">
        <f>IFERROR(VLOOKUP(D154,'product master'!A:C,3,FALSE),"Not Found")</f>
        <v>Accessories</v>
      </c>
    </row>
    <row r="155" spans="1:10" x14ac:dyDescent="0.3">
      <c r="A155" t="s">
        <v>188</v>
      </c>
      <c r="B155" s="1">
        <v>46084</v>
      </c>
      <c r="C155" t="s">
        <v>8</v>
      </c>
      <c r="D155" t="s">
        <v>22</v>
      </c>
      <c r="E155">
        <v>57</v>
      </c>
      <c r="F155">
        <v>320</v>
      </c>
      <c r="G155" t="s">
        <v>10</v>
      </c>
      <c r="H155">
        <f t="shared" si="2"/>
        <v>18240</v>
      </c>
      <c r="I155" t="str">
        <f>IFERROR(VLOOKUP(D155,'product master'!A:C,2,FALSE),"Not Found")</f>
        <v>Notebook Pack</v>
      </c>
      <c r="J155" t="str">
        <f>IFERROR(VLOOKUP(D155,'product master'!A:C,3,FALSE),"Not Found")</f>
        <v>Stationery</v>
      </c>
    </row>
    <row r="156" spans="1:10" x14ac:dyDescent="0.3">
      <c r="A156" t="s">
        <v>189</v>
      </c>
      <c r="B156" s="1">
        <v>46084</v>
      </c>
      <c r="C156" t="s">
        <v>18</v>
      </c>
      <c r="D156" t="s">
        <v>58</v>
      </c>
      <c r="E156">
        <v>10</v>
      </c>
      <c r="F156">
        <v>1200</v>
      </c>
      <c r="G156" t="s">
        <v>33</v>
      </c>
      <c r="H156">
        <f t="shared" si="2"/>
        <v>12000</v>
      </c>
      <c r="I156" t="str">
        <f>IFERROR(VLOOKUP(D156,'product master'!A:C,2,FALSE),"Not Found")</f>
        <v>Keyboard</v>
      </c>
      <c r="J156" t="str">
        <f>IFERROR(VLOOKUP(D156,'product master'!A:C,3,FALSE),"Not Found")</f>
        <v>Accessories</v>
      </c>
    </row>
    <row r="157" spans="1:10" x14ac:dyDescent="0.3">
      <c r="A157" t="s">
        <v>190</v>
      </c>
      <c r="B157" s="1">
        <v>46084</v>
      </c>
      <c r="C157" t="s">
        <v>25</v>
      </c>
      <c r="D157" t="s">
        <v>19</v>
      </c>
      <c r="E157">
        <v>7</v>
      </c>
      <c r="F157">
        <v>650</v>
      </c>
      <c r="G157" t="s">
        <v>39</v>
      </c>
      <c r="H157">
        <f t="shared" si="2"/>
        <v>4550</v>
      </c>
      <c r="I157" t="str">
        <f>IFERROR(VLOOKUP(D157,'product master'!A:C,2,FALSE),"Not Found")</f>
        <v>Wireless Mouse</v>
      </c>
      <c r="J157" t="str">
        <f>IFERROR(VLOOKUP(D157,'product master'!A:C,3,FALSE),"Not Found")</f>
        <v>Accessories</v>
      </c>
    </row>
    <row r="158" spans="1:10" x14ac:dyDescent="0.3">
      <c r="A158" t="s">
        <v>191</v>
      </c>
      <c r="B158" s="1">
        <v>46084</v>
      </c>
      <c r="C158" t="s">
        <v>12</v>
      </c>
      <c r="D158" t="s">
        <v>36</v>
      </c>
      <c r="E158">
        <v>2</v>
      </c>
      <c r="F158">
        <v>12000</v>
      </c>
      <c r="G158" t="s">
        <v>14</v>
      </c>
      <c r="H158">
        <f t="shared" si="2"/>
        <v>24000</v>
      </c>
      <c r="I158" t="str">
        <f>IFERROR(VLOOKUP(D158,'product master'!A:C,2,FALSE),"Not Found")</f>
        <v>Monitor</v>
      </c>
      <c r="J158" t="str">
        <f>IFERROR(VLOOKUP(D158,'product master'!A:C,3,FALSE),"Not Found")</f>
        <v>Electronics</v>
      </c>
    </row>
    <row r="159" spans="1:10" x14ac:dyDescent="0.3">
      <c r="A159" t="s">
        <v>192</v>
      </c>
      <c r="B159" s="1">
        <v>46085</v>
      </c>
      <c r="C159" t="s">
        <v>8</v>
      </c>
      <c r="D159" t="s">
        <v>22</v>
      </c>
      <c r="E159">
        <v>10</v>
      </c>
      <c r="F159">
        <v>320</v>
      </c>
      <c r="G159" t="s">
        <v>49</v>
      </c>
      <c r="H159">
        <f t="shared" si="2"/>
        <v>3200</v>
      </c>
      <c r="I159" t="str">
        <f>IFERROR(VLOOKUP(D159,'product master'!A:C,2,FALSE),"Not Found")</f>
        <v>Notebook Pack</v>
      </c>
      <c r="J159" t="str">
        <f>IFERROR(VLOOKUP(D159,'product master'!A:C,3,FALSE),"Not Found")</f>
        <v>Stationery</v>
      </c>
    </row>
    <row r="160" spans="1:10" x14ac:dyDescent="0.3">
      <c r="A160" t="s">
        <v>193</v>
      </c>
      <c r="B160" s="1">
        <v>46085</v>
      </c>
      <c r="C160" t="s">
        <v>25</v>
      </c>
      <c r="D160" t="s">
        <v>58</v>
      </c>
      <c r="E160">
        <v>20</v>
      </c>
      <c r="F160">
        <v>1200</v>
      </c>
      <c r="G160" t="s">
        <v>26</v>
      </c>
      <c r="H160">
        <f t="shared" si="2"/>
        <v>24000</v>
      </c>
      <c r="I160" t="str">
        <f>IFERROR(VLOOKUP(D160,'product master'!A:C,2,FALSE),"Not Found")</f>
        <v>Keyboard</v>
      </c>
      <c r="J160" t="str">
        <f>IFERROR(VLOOKUP(D160,'product master'!A:C,3,FALSE),"Not Found")</f>
        <v>Accessories</v>
      </c>
    </row>
    <row r="161" spans="1:10" x14ac:dyDescent="0.3">
      <c r="A161" t="s">
        <v>194</v>
      </c>
      <c r="B161" s="1">
        <v>46085</v>
      </c>
      <c r="C161" t="s">
        <v>25</v>
      </c>
      <c r="D161" t="s">
        <v>13</v>
      </c>
      <c r="E161">
        <v>43</v>
      </c>
      <c r="F161">
        <v>180</v>
      </c>
      <c r="G161" t="s">
        <v>26</v>
      </c>
      <c r="H161">
        <f t="shared" si="2"/>
        <v>7740</v>
      </c>
      <c r="I161" t="str">
        <f>IFERROR(VLOOKUP(D161,'product master'!A:C,2,FALSE),"Not Found")</f>
        <v>Pen Box</v>
      </c>
      <c r="J161" t="str">
        <f>IFERROR(VLOOKUP(D161,'product master'!A:C,3,FALSE),"Not Found")</f>
        <v>Stationery</v>
      </c>
    </row>
    <row r="162" spans="1:10" x14ac:dyDescent="0.3">
      <c r="A162" t="s">
        <v>195</v>
      </c>
      <c r="B162" s="1">
        <v>46085</v>
      </c>
      <c r="C162" t="s">
        <v>12</v>
      </c>
      <c r="D162" t="s">
        <v>51</v>
      </c>
      <c r="E162">
        <v>11</v>
      </c>
      <c r="F162">
        <v>2200</v>
      </c>
      <c r="G162" t="s">
        <v>14</v>
      </c>
      <c r="H162">
        <f t="shared" si="2"/>
        <v>24200</v>
      </c>
      <c r="I162" t="str">
        <f>IFERROR(VLOOKUP(D162,'product master'!A:C,2,FALSE),"Not Found")</f>
        <v>Headphones</v>
      </c>
      <c r="J162" t="str">
        <f>IFERROR(VLOOKUP(D162,'product master'!A:C,3,FALSE),"Not Found")</f>
        <v>Accessories</v>
      </c>
    </row>
    <row r="163" spans="1:10" x14ac:dyDescent="0.3">
      <c r="A163" t="s">
        <v>196</v>
      </c>
      <c r="B163" s="1">
        <v>46085</v>
      </c>
      <c r="C163" t="s">
        <v>18</v>
      </c>
      <c r="D163" t="s">
        <v>180</v>
      </c>
      <c r="E163">
        <v>3</v>
      </c>
      <c r="F163">
        <v>9500</v>
      </c>
      <c r="G163" t="s">
        <v>33</v>
      </c>
      <c r="H163">
        <f t="shared" si="2"/>
        <v>28500</v>
      </c>
      <c r="I163" t="str">
        <f>IFERROR(VLOOKUP(D163,'product master'!A:C,2,FALSE),"Not Found")</f>
        <v>Printer</v>
      </c>
      <c r="J163" t="str">
        <f>IFERROR(VLOOKUP(D163,'product master'!A:C,3,FALSE),"Not Found")</f>
        <v>Electronics</v>
      </c>
    </row>
    <row r="164" spans="1:10" x14ac:dyDescent="0.3">
      <c r="A164" t="s">
        <v>197</v>
      </c>
      <c r="B164" s="1">
        <v>46087</v>
      </c>
      <c r="C164" t="s">
        <v>25</v>
      </c>
      <c r="D164" t="s">
        <v>22</v>
      </c>
      <c r="E164">
        <v>51</v>
      </c>
      <c r="F164">
        <v>320</v>
      </c>
      <c r="G164" t="s">
        <v>26</v>
      </c>
      <c r="H164">
        <f t="shared" si="2"/>
        <v>16320</v>
      </c>
      <c r="I164" t="str">
        <f>IFERROR(VLOOKUP(D164,'product master'!A:C,2,FALSE),"Not Found")</f>
        <v>Notebook Pack</v>
      </c>
      <c r="J164" t="str">
        <f>IFERROR(VLOOKUP(D164,'product master'!A:C,3,FALSE),"Not Found")</f>
        <v>Stationery</v>
      </c>
    </row>
    <row r="165" spans="1:10" x14ac:dyDescent="0.3">
      <c r="A165" t="s">
        <v>198</v>
      </c>
      <c r="B165" s="1">
        <v>46087</v>
      </c>
      <c r="C165" t="s">
        <v>18</v>
      </c>
      <c r="D165" t="s">
        <v>19</v>
      </c>
      <c r="E165">
        <v>17</v>
      </c>
      <c r="F165">
        <v>650</v>
      </c>
      <c r="G165" t="s">
        <v>20</v>
      </c>
      <c r="H165">
        <f t="shared" si="2"/>
        <v>11050</v>
      </c>
      <c r="I165" t="str">
        <f>IFERROR(VLOOKUP(D165,'product master'!A:C,2,FALSE),"Not Found")</f>
        <v>Wireless Mouse</v>
      </c>
      <c r="J165" t="str">
        <f>IFERROR(VLOOKUP(D165,'product master'!A:C,3,FALSE),"Not Found")</f>
        <v>Accessories</v>
      </c>
    </row>
    <row r="166" spans="1:10" x14ac:dyDescent="0.3">
      <c r="A166" t="s">
        <v>199</v>
      </c>
      <c r="B166" s="1">
        <v>46087</v>
      </c>
      <c r="C166" t="s">
        <v>12</v>
      </c>
      <c r="D166" t="s">
        <v>19</v>
      </c>
      <c r="E166">
        <v>20</v>
      </c>
      <c r="F166">
        <v>650</v>
      </c>
      <c r="G166" t="s">
        <v>28</v>
      </c>
      <c r="H166">
        <f t="shared" si="2"/>
        <v>13000</v>
      </c>
      <c r="I166" t="str">
        <f>IFERROR(VLOOKUP(D166,'product master'!A:C,2,FALSE),"Not Found")</f>
        <v>Wireless Mouse</v>
      </c>
      <c r="J166" t="str">
        <f>IFERROR(VLOOKUP(D166,'product master'!A:C,3,FALSE),"Not Found")</f>
        <v>Accessories</v>
      </c>
    </row>
    <row r="167" spans="1:10" x14ac:dyDescent="0.3">
      <c r="A167" t="s">
        <v>200</v>
      </c>
      <c r="B167" s="1">
        <v>46087</v>
      </c>
      <c r="C167" t="s">
        <v>12</v>
      </c>
      <c r="D167" t="s">
        <v>19</v>
      </c>
      <c r="E167">
        <v>9</v>
      </c>
      <c r="F167">
        <v>650</v>
      </c>
      <c r="G167" t="s">
        <v>43</v>
      </c>
      <c r="H167">
        <f t="shared" si="2"/>
        <v>5850</v>
      </c>
      <c r="I167" t="str">
        <f>IFERROR(VLOOKUP(D167,'product master'!A:C,2,FALSE),"Not Found")</f>
        <v>Wireless Mouse</v>
      </c>
      <c r="J167" t="str">
        <f>IFERROR(VLOOKUP(D167,'product master'!A:C,3,FALSE),"Not Found")</f>
        <v>Accessories</v>
      </c>
    </row>
    <row r="168" spans="1:10" x14ac:dyDescent="0.3">
      <c r="A168" t="s">
        <v>201</v>
      </c>
      <c r="B168" s="1">
        <v>46087</v>
      </c>
      <c r="C168" t="s">
        <v>12</v>
      </c>
      <c r="D168" t="s">
        <v>58</v>
      </c>
      <c r="E168">
        <v>8</v>
      </c>
      <c r="F168">
        <v>1200</v>
      </c>
      <c r="G168" t="s">
        <v>28</v>
      </c>
      <c r="H168">
        <f t="shared" si="2"/>
        <v>9600</v>
      </c>
      <c r="I168" t="str">
        <f>IFERROR(VLOOKUP(D168,'product master'!A:C,2,FALSE),"Not Found")</f>
        <v>Keyboard</v>
      </c>
      <c r="J168" t="str">
        <f>IFERROR(VLOOKUP(D168,'product master'!A:C,3,FALSE),"Not Found")</f>
        <v>Accessories</v>
      </c>
    </row>
    <row r="169" spans="1:10" x14ac:dyDescent="0.3">
      <c r="A169" t="s">
        <v>202</v>
      </c>
      <c r="B169" s="1">
        <v>46089</v>
      </c>
      <c r="C169" t="s">
        <v>8</v>
      </c>
      <c r="D169" t="s">
        <v>19</v>
      </c>
      <c r="E169">
        <v>5</v>
      </c>
      <c r="F169">
        <v>650</v>
      </c>
      <c r="G169" t="s">
        <v>49</v>
      </c>
      <c r="H169">
        <f t="shared" si="2"/>
        <v>3250</v>
      </c>
      <c r="I169" t="str">
        <f>IFERROR(VLOOKUP(D169,'product master'!A:C,2,FALSE),"Not Found")</f>
        <v>Wireless Mouse</v>
      </c>
      <c r="J169" t="str">
        <f>IFERROR(VLOOKUP(D169,'product master'!A:C,3,FALSE),"Not Found")</f>
        <v>Accessories</v>
      </c>
    </row>
    <row r="170" spans="1:10" x14ac:dyDescent="0.3">
      <c r="A170" t="s">
        <v>203</v>
      </c>
      <c r="B170" s="1">
        <v>46089</v>
      </c>
      <c r="C170" t="s">
        <v>18</v>
      </c>
      <c r="D170" t="s">
        <v>13</v>
      </c>
      <c r="E170">
        <v>78</v>
      </c>
      <c r="F170">
        <v>180</v>
      </c>
      <c r="G170" t="s">
        <v>33</v>
      </c>
      <c r="H170">
        <f t="shared" si="2"/>
        <v>14040</v>
      </c>
      <c r="I170" t="str">
        <f>IFERROR(VLOOKUP(D170,'product master'!A:C,2,FALSE),"Not Found")</f>
        <v>Pen Box</v>
      </c>
      <c r="J170" t="str">
        <f>IFERROR(VLOOKUP(D170,'product master'!A:C,3,FALSE),"Not Found")</f>
        <v>Stationery</v>
      </c>
    </row>
    <row r="171" spans="1:10" x14ac:dyDescent="0.3">
      <c r="A171" t="s">
        <v>204</v>
      </c>
      <c r="B171" s="1">
        <v>46090</v>
      </c>
      <c r="C171" t="s">
        <v>12</v>
      </c>
      <c r="D171" t="s">
        <v>58</v>
      </c>
      <c r="E171">
        <v>10</v>
      </c>
      <c r="F171">
        <v>1200</v>
      </c>
      <c r="G171" t="s">
        <v>28</v>
      </c>
      <c r="H171">
        <f t="shared" si="2"/>
        <v>12000</v>
      </c>
      <c r="I171" t="str">
        <f>IFERROR(VLOOKUP(D171,'product master'!A:C,2,FALSE),"Not Found")</f>
        <v>Keyboard</v>
      </c>
      <c r="J171" t="str">
        <f>IFERROR(VLOOKUP(D171,'product master'!A:C,3,FALSE),"Not Found")</f>
        <v>Accessories</v>
      </c>
    </row>
    <row r="172" spans="1:10" x14ac:dyDescent="0.3">
      <c r="A172" t="s">
        <v>205</v>
      </c>
      <c r="B172" s="1">
        <v>46090</v>
      </c>
      <c r="C172" t="s">
        <v>12</v>
      </c>
      <c r="D172" t="s">
        <v>58</v>
      </c>
      <c r="E172">
        <v>8</v>
      </c>
      <c r="F172">
        <v>1200</v>
      </c>
      <c r="G172" t="s">
        <v>28</v>
      </c>
      <c r="H172">
        <f t="shared" si="2"/>
        <v>9600</v>
      </c>
      <c r="I172" t="str">
        <f>IFERROR(VLOOKUP(D172,'product master'!A:C,2,FALSE),"Not Found")</f>
        <v>Keyboard</v>
      </c>
      <c r="J172" t="str">
        <f>IFERROR(VLOOKUP(D172,'product master'!A:C,3,FALSE),"Not Found")</f>
        <v>Accessories</v>
      </c>
    </row>
    <row r="173" spans="1:10" x14ac:dyDescent="0.3">
      <c r="A173" t="s">
        <v>206</v>
      </c>
      <c r="B173" s="1">
        <v>46091</v>
      </c>
      <c r="C173" t="s">
        <v>8</v>
      </c>
      <c r="D173" t="s">
        <v>13</v>
      </c>
      <c r="E173">
        <v>24</v>
      </c>
      <c r="F173">
        <v>180</v>
      </c>
      <c r="G173" t="s">
        <v>23</v>
      </c>
      <c r="H173">
        <f t="shared" si="2"/>
        <v>4320</v>
      </c>
      <c r="I173" t="str">
        <f>IFERROR(VLOOKUP(D173,'product master'!A:C,2,FALSE),"Not Found")</f>
        <v>Pen Box</v>
      </c>
      <c r="J173" t="str">
        <f>IFERROR(VLOOKUP(D173,'product master'!A:C,3,FALSE),"Not Found")</f>
        <v>Stationery</v>
      </c>
    </row>
    <row r="174" spans="1:10" x14ac:dyDescent="0.3">
      <c r="A174" t="s">
        <v>207</v>
      </c>
      <c r="B174" s="1">
        <v>46091</v>
      </c>
      <c r="C174" t="s">
        <v>25</v>
      </c>
      <c r="D174" t="s">
        <v>19</v>
      </c>
      <c r="E174">
        <v>16</v>
      </c>
      <c r="F174">
        <v>650</v>
      </c>
      <c r="G174" t="s">
        <v>26</v>
      </c>
      <c r="H174">
        <f t="shared" si="2"/>
        <v>10400</v>
      </c>
      <c r="I174" t="str">
        <f>IFERROR(VLOOKUP(D174,'product master'!A:C,2,FALSE),"Not Found")</f>
        <v>Wireless Mouse</v>
      </c>
      <c r="J174" t="str">
        <f>IFERROR(VLOOKUP(D174,'product master'!A:C,3,FALSE),"Not Found")</f>
        <v>Accessories</v>
      </c>
    </row>
    <row r="175" spans="1:10" x14ac:dyDescent="0.3">
      <c r="A175" t="s">
        <v>208</v>
      </c>
      <c r="B175" s="1">
        <v>46091</v>
      </c>
      <c r="C175" t="s">
        <v>12</v>
      </c>
      <c r="D175" t="s">
        <v>16</v>
      </c>
      <c r="E175">
        <v>2</v>
      </c>
      <c r="F175">
        <v>45000</v>
      </c>
      <c r="G175" t="s">
        <v>28</v>
      </c>
      <c r="H175">
        <f t="shared" si="2"/>
        <v>90000</v>
      </c>
      <c r="I175" t="str">
        <f>IFERROR(VLOOKUP(D175,'product master'!A:C,2,FALSE),"Not Found")</f>
        <v>Laptop</v>
      </c>
      <c r="J175" t="str">
        <f>IFERROR(VLOOKUP(D175,'product master'!A:C,3,FALSE),"Not Found")</f>
        <v>Electronics</v>
      </c>
    </row>
    <row r="176" spans="1:10" x14ac:dyDescent="0.3">
      <c r="A176" t="s">
        <v>209</v>
      </c>
      <c r="B176" s="1">
        <v>46092</v>
      </c>
      <c r="C176" t="s">
        <v>18</v>
      </c>
      <c r="D176" t="s">
        <v>36</v>
      </c>
      <c r="E176">
        <v>5</v>
      </c>
      <c r="F176">
        <v>12000</v>
      </c>
      <c r="G176" t="s">
        <v>30</v>
      </c>
      <c r="H176">
        <f t="shared" si="2"/>
        <v>60000</v>
      </c>
      <c r="I176" t="str">
        <f>IFERROR(VLOOKUP(D176,'product master'!A:C,2,FALSE),"Not Found")</f>
        <v>Monitor</v>
      </c>
      <c r="J176" t="str">
        <f>IFERROR(VLOOKUP(D176,'product master'!A:C,3,FALSE),"Not Found")</f>
        <v>Electronics</v>
      </c>
    </row>
    <row r="177" spans="1:10" x14ac:dyDescent="0.3">
      <c r="A177" t="s">
        <v>210</v>
      </c>
      <c r="B177" s="1">
        <v>46092</v>
      </c>
      <c r="C177" t="s">
        <v>8</v>
      </c>
      <c r="D177" t="s">
        <v>9</v>
      </c>
      <c r="E177">
        <v>4</v>
      </c>
      <c r="F177">
        <v>7500</v>
      </c>
      <c r="G177" t="s">
        <v>10</v>
      </c>
      <c r="H177">
        <f t="shared" si="2"/>
        <v>30000</v>
      </c>
      <c r="I177" t="str">
        <f>IFERROR(VLOOKUP(D177,'product master'!A:C,2,FALSE),"Not Found")</f>
        <v>Office Chair</v>
      </c>
      <c r="J177" t="str">
        <f>IFERROR(VLOOKUP(D177,'product master'!A:C,3,FALSE),"Not Found")</f>
        <v>Furniture</v>
      </c>
    </row>
    <row r="178" spans="1:10" x14ac:dyDescent="0.3">
      <c r="A178" t="s">
        <v>211</v>
      </c>
      <c r="B178" s="1">
        <v>46094</v>
      </c>
      <c r="C178" t="s">
        <v>18</v>
      </c>
      <c r="D178" t="s">
        <v>41</v>
      </c>
      <c r="E178">
        <v>5</v>
      </c>
      <c r="F178">
        <v>9800</v>
      </c>
      <c r="G178" t="s">
        <v>20</v>
      </c>
      <c r="H178">
        <f t="shared" si="2"/>
        <v>49000</v>
      </c>
      <c r="I178" t="str">
        <f>IFERROR(VLOOKUP(D178,'product master'!A:C,2,FALSE),"Not Found")</f>
        <v>Study Desk</v>
      </c>
      <c r="J178" t="str">
        <f>IFERROR(VLOOKUP(D178,'product master'!A:C,3,FALSE),"Not Found")</f>
        <v>Furniture</v>
      </c>
    </row>
    <row r="179" spans="1:10" x14ac:dyDescent="0.3">
      <c r="A179" t="s">
        <v>212</v>
      </c>
      <c r="B179" s="1">
        <v>46095</v>
      </c>
      <c r="C179" t="s">
        <v>25</v>
      </c>
      <c r="D179" t="s">
        <v>51</v>
      </c>
      <c r="E179">
        <v>14</v>
      </c>
      <c r="F179">
        <v>2200</v>
      </c>
      <c r="G179" t="s">
        <v>26</v>
      </c>
      <c r="H179">
        <f t="shared" si="2"/>
        <v>30800</v>
      </c>
      <c r="I179" t="str">
        <f>IFERROR(VLOOKUP(D179,'product master'!A:C,2,FALSE),"Not Found")</f>
        <v>Headphones</v>
      </c>
      <c r="J179" t="str">
        <f>IFERROR(VLOOKUP(D179,'product master'!A:C,3,FALSE),"Not Found")</f>
        <v>Accessories</v>
      </c>
    </row>
    <row r="180" spans="1:10" x14ac:dyDescent="0.3">
      <c r="A180" t="s">
        <v>213</v>
      </c>
      <c r="B180" s="1">
        <v>46095</v>
      </c>
      <c r="C180" t="s">
        <v>12</v>
      </c>
      <c r="D180" t="s">
        <v>58</v>
      </c>
      <c r="E180">
        <v>2</v>
      </c>
      <c r="F180">
        <v>1200</v>
      </c>
      <c r="G180" t="s">
        <v>43</v>
      </c>
      <c r="H180">
        <f t="shared" si="2"/>
        <v>2400</v>
      </c>
      <c r="I180" t="str">
        <f>IFERROR(VLOOKUP(D180,'product master'!A:C,2,FALSE),"Not Found")</f>
        <v>Keyboard</v>
      </c>
      <c r="J180" t="str">
        <f>IFERROR(VLOOKUP(D180,'product master'!A:C,3,FALSE),"Not Found")</f>
        <v>Accessories</v>
      </c>
    </row>
    <row r="181" spans="1:10" x14ac:dyDescent="0.3">
      <c r="A181" t="s">
        <v>214</v>
      </c>
      <c r="B181" s="1">
        <v>46095</v>
      </c>
      <c r="C181" t="s">
        <v>18</v>
      </c>
      <c r="D181" t="s">
        <v>13</v>
      </c>
      <c r="E181">
        <v>80</v>
      </c>
      <c r="F181">
        <v>180</v>
      </c>
      <c r="G181" t="s">
        <v>20</v>
      </c>
      <c r="H181">
        <f t="shared" si="2"/>
        <v>14400</v>
      </c>
      <c r="I181" t="str">
        <f>IFERROR(VLOOKUP(D181,'product master'!A:C,2,FALSE),"Not Found")</f>
        <v>Pen Box</v>
      </c>
      <c r="J181" t="str">
        <f>IFERROR(VLOOKUP(D181,'product master'!A:C,3,FALSE),"Not Found")</f>
        <v>Stationery</v>
      </c>
    </row>
    <row r="182" spans="1:10" x14ac:dyDescent="0.3">
      <c r="A182" t="s">
        <v>215</v>
      </c>
      <c r="B182" s="1">
        <v>46095</v>
      </c>
      <c r="C182" t="s">
        <v>8</v>
      </c>
      <c r="D182" t="s">
        <v>58</v>
      </c>
      <c r="E182">
        <v>15</v>
      </c>
      <c r="F182">
        <v>1200</v>
      </c>
      <c r="G182" t="s">
        <v>49</v>
      </c>
      <c r="H182">
        <f t="shared" si="2"/>
        <v>18000</v>
      </c>
      <c r="I182" t="str">
        <f>IFERROR(VLOOKUP(D182,'product master'!A:C,2,FALSE),"Not Found")</f>
        <v>Keyboard</v>
      </c>
      <c r="J182" t="str">
        <f>IFERROR(VLOOKUP(D182,'product master'!A:C,3,FALSE),"Not Found")</f>
        <v>Accessories</v>
      </c>
    </row>
    <row r="183" spans="1:10" x14ac:dyDescent="0.3">
      <c r="A183" t="s">
        <v>216</v>
      </c>
      <c r="B183" s="1">
        <v>46096</v>
      </c>
      <c r="C183" t="s">
        <v>18</v>
      </c>
      <c r="D183" t="s">
        <v>22</v>
      </c>
      <c r="E183">
        <v>24</v>
      </c>
      <c r="F183">
        <v>320</v>
      </c>
      <c r="G183" t="s">
        <v>30</v>
      </c>
      <c r="H183">
        <f t="shared" si="2"/>
        <v>7680</v>
      </c>
      <c r="I183" t="str">
        <f>IFERROR(VLOOKUP(D183,'product master'!A:C,2,FALSE),"Not Found")</f>
        <v>Notebook Pack</v>
      </c>
      <c r="J183" t="str">
        <f>IFERROR(VLOOKUP(D183,'product master'!A:C,3,FALSE),"Not Found")</f>
        <v>Stationery</v>
      </c>
    </row>
    <row r="184" spans="1:10" x14ac:dyDescent="0.3">
      <c r="A184" t="s">
        <v>217</v>
      </c>
      <c r="B184" s="1">
        <v>46096</v>
      </c>
      <c r="C184" t="s">
        <v>8</v>
      </c>
      <c r="D184" t="s">
        <v>180</v>
      </c>
      <c r="E184">
        <v>2</v>
      </c>
      <c r="F184">
        <v>9500</v>
      </c>
      <c r="G184" t="s">
        <v>49</v>
      </c>
      <c r="H184">
        <f t="shared" si="2"/>
        <v>19000</v>
      </c>
      <c r="I184" t="str">
        <f>IFERROR(VLOOKUP(D184,'product master'!A:C,2,FALSE),"Not Found")</f>
        <v>Printer</v>
      </c>
      <c r="J184" t="str">
        <f>IFERROR(VLOOKUP(D184,'product master'!A:C,3,FALSE),"Not Found")</f>
        <v>Electronics</v>
      </c>
    </row>
    <row r="185" spans="1:10" x14ac:dyDescent="0.3">
      <c r="A185" t="s">
        <v>218</v>
      </c>
      <c r="B185" s="1">
        <v>46096</v>
      </c>
      <c r="C185" t="s">
        <v>8</v>
      </c>
      <c r="D185" t="s">
        <v>51</v>
      </c>
      <c r="E185">
        <v>16</v>
      </c>
      <c r="F185">
        <v>2200</v>
      </c>
      <c r="G185" t="s">
        <v>10</v>
      </c>
      <c r="H185">
        <f t="shared" si="2"/>
        <v>35200</v>
      </c>
      <c r="I185" t="str">
        <f>IFERROR(VLOOKUP(D185,'product master'!A:C,2,FALSE),"Not Found")</f>
        <v>Headphones</v>
      </c>
      <c r="J185" t="str">
        <f>IFERROR(VLOOKUP(D185,'product master'!A:C,3,FALSE),"Not Found")</f>
        <v>Accessories</v>
      </c>
    </row>
    <row r="186" spans="1:10" x14ac:dyDescent="0.3">
      <c r="A186" t="s">
        <v>219</v>
      </c>
      <c r="B186" s="1">
        <v>46096</v>
      </c>
      <c r="C186" t="s">
        <v>18</v>
      </c>
      <c r="D186" t="s">
        <v>13</v>
      </c>
      <c r="E186">
        <v>14</v>
      </c>
      <c r="F186">
        <v>180</v>
      </c>
      <c r="G186" t="s">
        <v>30</v>
      </c>
      <c r="H186">
        <f t="shared" si="2"/>
        <v>2520</v>
      </c>
      <c r="I186" t="str">
        <f>IFERROR(VLOOKUP(D186,'product master'!A:C,2,FALSE),"Not Found")</f>
        <v>Pen Box</v>
      </c>
      <c r="J186" t="str">
        <f>IFERROR(VLOOKUP(D186,'product master'!A:C,3,FALSE),"Not Found")</f>
        <v>Stationery</v>
      </c>
    </row>
    <row r="187" spans="1:10" x14ac:dyDescent="0.3">
      <c r="A187" t="s">
        <v>220</v>
      </c>
      <c r="B187" s="1">
        <v>46097</v>
      </c>
      <c r="C187" t="s">
        <v>25</v>
      </c>
      <c r="D187" t="s">
        <v>36</v>
      </c>
      <c r="E187">
        <v>1</v>
      </c>
      <c r="F187">
        <v>12000</v>
      </c>
      <c r="G187" t="s">
        <v>47</v>
      </c>
      <c r="H187">
        <f t="shared" si="2"/>
        <v>12000</v>
      </c>
      <c r="I187" t="str">
        <f>IFERROR(VLOOKUP(D187,'product master'!A:C,2,FALSE),"Not Found")</f>
        <v>Monitor</v>
      </c>
      <c r="J187" t="str">
        <f>IFERROR(VLOOKUP(D187,'product master'!A:C,3,FALSE),"Not Found")</f>
        <v>Electronics</v>
      </c>
    </row>
    <row r="188" spans="1:10" x14ac:dyDescent="0.3">
      <c r="A188" t="s">
        <v>221</v>
      </c>
      <c r="B188" s="1">
        <v>46097</v>
      </c>
      <c r="C188" t="s">
        <v>8</v>
      </c>
      <c r="D188" t="s">
        <v>51</v>
      </c>
      <c r="E188">
        <v>19</v>
      </c>
      <c r="F188">
        <v>2200</v>
      </c>
      <c r="G188" t="s">
        <v>49</v>
      </c>
      <c r="H188">
        <f t="shared" si="2"/>
        <v>41800</v>
      </c>
      <c r="I188" t="str">
        <f>IFERROR(VLOOKUP(D188,'product master'!A:C,2,FALSE),"Not Found")</f>
        <v>Headphones</v>
      </c>
      <c r="J188" t="str">
        <f>IFERROR(VLOOKUP(D188,'product master'!A:C,3,FALSE),"Not Found")</f>
        <v>Accessories</v>
      </c>
    </row>
    <row r="189" spans="1:10" x14ac:dyDescent="0.3">
      <c r="A189" t="s">
        <v>222</v>
      </c>
      <c r="B189" s="1">
        <v>46097</v>
      </c>
      <c r="C189" t="s">
        <v>25</v>
      </c>
      <c r="D189" t="s">
        <v>41</v>
      </c>
      <c r="E189">
        <v>1</v>
      </c>
      <c r="F189">
        <v>9800</v>
      </c>
      <c r="G189" t="s">
        <v>47</v>
      </c>
      <c r="H189">
        <f t="shared" si="2"/>
        <v>9800</v>
      </c>
      <c r="I189" t="str">
        <f>IFERROR(VLOOKUP(D189,'product master'!A:C,2,FALSE),"Not Found")</f>
        <v>Study Desk</v>
      </c>
      <c r="J189" t="str">
        <f>IFERROR(VLOOKUP(D189,'product master'!A:C,3,FALSE),"Not Found")</f>
        <v>Furniture</v>
      </c>
    </row>
    <row r="190" spans="1:10" x14ac:dyDescent="0.3">
      <c r="A190" t="s">
        <v>223</v>
      </c>
      <c r="B190" s="1">
        <v>46097</v>
      </c>
      <c r="C190" t="s">
        <v>12</v>
      </c>
      <c r="D190" t="s">
        <v>9</v>
      </c>
      <c r="E190">
        <v>2</v>
      </c>
      <c r="F190">
        <v>7500</v>
      </c>
      <c r="G190" t="s">
        <v>43</v>
      </c>
      <c r="H190">
        <f t="shared" si="2"/>
        <v>15000</v>
      </c>
      <c r="I190" t="str">
        <f>IFERROR(VLOOKUP(D190,'product master'!A:C,2,FALSE),"Not Found")</f>
        <v>Office Chair</v>
      </c>
      <c r="J190" t="str">
        <f>IFERROR(VLOOKUP(D190,'product master'!A:C,3,FALSE),"Not Found")</f>
        <v>Furniture</v>
      </c>
    </row>
    <row r="191" spans="1:10" x14ac:dyDescent="0.3">
      <c r="A191" t="s">
        <v>224</v>
      </c>
      <c r="B191" s="1">
        <v>46098</v>
      </c>
      <c r="C191" t="s">
        <v>12</v>
      </c>
      <c r="D191" t="s">
        <v>58</v>
      </c>
      <c r="E191">
        <v>3</v>
      </c>
      <c r="F191">
        <v>1200</v>
      </c>
      <c r="G191" t="s">
        <v>14</v>
      </c>
      <c r="H191">
        <f t="shared" si="2"/>
        <v>3600</v>
      </c>
      <c r="I191" t="str">
        <f>IFERROR(VLOOKUP(D191,'product master'!A:C,2,FALSE),"Not Found")</f>
        <v>Keyboard</v>
      </c>
      <c r="J191" t="str">
        <f>IFERROR(VLOOKUP(D191,'product master'!A:C,3,FALSE),"Not Found")</f>
        <v>Accessories</v>
      </c>
    </row>
    <row r="192" spans="1:10" x14ac:dyDescent="0.3">
      <c r="A192" t="s">
        <v>225</v>
      </c>
      <c r="B192" s="1">
        <v>46098</v>
      </c>
      <c r="C192" t="s">
        <v>8</v>
      </c>
      <c r="D192" t="s">
        <v>36</v>
      </c>
      <c r="E192">
        <v>3</v>
      </c>
      <c r="F192">
        <v>12000</v>
      </c>
      <c r="G192" t="s">
        <v>23</v>
      </c>
      <c r="H192">
        <f t="shared" si="2"/>
        <v>36000</v>
      </c>
      <c r="I192" t="str">
        <f>IFERROR(VLOOKUP(D192,'product master'!A:C,2,FALSE),"Not Found")</f>
        <v>Monitor</v>
      </c>
      <c r="J192" t="str">
        <f>IFERROR(VLOOKUP(D192,'product master'!A:C,3,FALSE),"Not Found")</f>
        <v>Electronics</v>
      </c>
    </row>
    <row r="193" spans="1:10" x14ac:dyDescent="0.3">
      <c r="A193" t="s">
        <v>226</v>
      </c>
      <c r="B193" s="1">
        <v>46098</v>
      </c>
      <c r="C193" t="s">
        <v>12</v>
      </c>
      <c r="D193" t="s">
        <v>13</v>
      </c>
      <c r="E193">
        <v>25</v>
      </c>
      <c r="F193">
        <v>180</v>
      </c>
      <c r="G193" t="s">
        <v>43</v>
      </c>
      <c r="H193">
        <f t="shared" si="2"/>
        <v>4500</v>
      </c>
      <c r="I193" t="str">
        <f>IFERROR(VLOOKUP(D193,'product master'!A:C,2,FALSE),"Not Found")</f>
        <v>Pen Box</v>
      </c>
      <c r="J193" t="str">
        <f>IFERROR(VLOOKUP(D193,'product master'!A:C,3,FALSE),"Not Found")</f>
        <v>Stationery</v>
      </c>
    </row>
    <row r="194" spans="1:10" x14ac:dyDescent="0.3">
      <c r="A194" t="s">
        <v>227</v>
      </c>
      <c r="B194" s="1">
        <v>46099</v>
      </c>
      <c r="C194" t="s">
        <v>25</v>
      </c>
      <c r="D194" t="s">
        <v>13</v>
      </c>
      <c r="E194">
        <v>47</v>
      </c>
      <c r="F194">
        <v>180</v>
      </c>
      <c r="G194" t="s">
        <v>26</v>
      </c>
      <c r="H194">
        <f t="shared" ref="H194:H257" si="3">E194*F194</f>
        <v>8460</v>
      </c>
      <c r="I194" t="str">
        <f>IFERROR(VLOOKUP(D194,'product master'!A:C,2,FALSE),"Not Found")</f>
        <v>Pen Box</v>
      </c>
      <c r="J194" t="str">
        <f>IFERROR(VLOOKUP(D194,'product master'!A:C,3,FALSE),"Not Found")</f>
        <v>Stationery</v>
      </c>
    </row>
    <row r="195" spans="1:10" x14ac:dyDescent="0.3">
      <c r="A195" t="s">
        <v>228</v>
      </c>
      <c r="B195" s="1">
        <v>46099</v>
      </c>
      <c r="C195" t="s">
        <v>25</v>
      </c>
      <c r="D195" t="s">
        <v>58</v>
      </c>
      <c r="E195">
        <v>10</v>
      </c>
      <c r="F195">
        <v>1200</v>
      </c>
      <c r="G195" t="s">
        <v>47</v>
      </c>
      <c r="H195">
        <f t="shared" si="3"/>
        <v>12000</v>
      </c>
      <c r="I195" t="str">
        <f>IFERROR(VLOOKUP(D195,'product master'!A:C,2,FALSE),"Not Found")</f>
        <v>Keyboard</v>
      </c>
      <c r="J195" t="str">
        <f>IFERROR(VLOOKUP(D195,'product master'!A:C,3,FALSE),"Not Found")</f>
        <v>Accessories</v>
      </c>
    </row>
    <row r="196" spans="1:10" x14ac:dyDescent="0.3">
      <c r="A196" t="s">
        <v>229</v>
      </c>
      <c r="B196" s="1">
        <v>46100</v>
      </c>
      <c r="C196" t="s">
        <v>25</v>
      </c>
      <c r="D196" t="s">
        <v>51</v>
      </c>
      <c r="E196">
        <v>4</v>
      </c>
      <c r="F196">
        <v>2200</v>
      </c>
      <c r="G196" t="s">
        <v>39</v>
      </c>
      <c r="H196">
        <f t="shared" si="3"/>
        <v>8800</v>
      </c>
      <c r="I196" t="str">
        <f>IFERROR(VLOOKUP(D196,'product master'!A:C,2,FALSE),"Not Found")</f>
        <v>Headphones</v>
      </c>
      <c r="J196" t="str">
        <f>IFERROR(VLOOKUP(D196,'product master'!A:C,3,FALSE),"Not Found")</f>
        <v>Accessories</v>
      </c>
    </row>
    <row r="197" spans="1:10" x14ac:dyDescent="0.3">
      <c r="A197" t="s">
        <v>230</v>
      </c>
      <c r="B197" s="1">
        <v>46100</v>
      </c>
      <c r="C197" t="s">
        <v>25</v>
      </c>
      <c r="D197" t="s">
        <v>19</v>
      </c>
      <c r="E197">
        <v>17</v>
      </c>
      <c r="F197">
        <v>650</v>
      </c>
      <c r="G197" t="s">
        <v>47</v>
      </c>
      <c r="H197">
        <f t="shared" si="3"/>
        <v>11050</v>
      </c>
      <c r="I197" t="str">
        <f>IFERROR(VLOOKUP(D197,'product master'!A:C,2,FALSE),"Not Found")</f>
        <v>Wireless Mouse</v>
      </c>
      <c r="J197" t="str">
        <f>IFERROR(VLOOKUP(D197,'product master'!A:C,3,FALSE),"Not Found")</f>
        <v>Accessories</v>
      </c>
    </row>
    <row r="198" spans="1:10" x14ac:dyDescent="0.3">
      <c r="A198" t="s">
        <v>231</v>
      </c>
      <c r="B198" s="1">
        <v>46101</v>
      </c>
      <c r="C198" t="s">
        <v>25</v>
      </c>
      <c r="D198" t="s">
        <v>19</v>
      </c>
      <c r="E198">
        <v>16</v>
      </c>
      <c r="F198">
        <v>650</v>
      </c>
      <c r="G198" t="s">
        <v>47</v>
      </c>
      <c r="H198">
        <f t="shared" si="3"/>
        <v>10400</v>
      </c>
      <c r="I198" t="str">
        <f>IFERROR(VLOOKUP(D198,'product master'!A:C,2,FALSE),"Not Found")</f>
        <v>Wireless Mouse</v>
      </c>
      <c r="J198" t="str">
        <f>IFERROR(VLOOKUP(D198,'product master'!A:C,3,FALSE),"Not Found")</f>
        <v>Accessories</v>
      </c>
    </row>
    <row r="199" spans="1:10" x14ac:dyDescent="0.3">
      <c r="A199" t="s">
        <v>232</v>
      </c>
      <c r="B199" s="1">
        <v>46101</v>
      </c>
      <c r="C199" t="s">
        <v>8</v>
      </c>
      <c r="D199" t="s">
        <v>19</v>
      </c>
      <c r="E199">
        <v>2</v>
      </c>
      <c r="F199">
        <v>650</v>
      </c>
      <c r="G199" t="s">
        <v>23</v>
      </c>
      <c r="H199">
        <f t="shared" si="3"/>
        <v>1300</v>
      </c>
      <c r="I199" t="str">
        <f>IFERROR(VLOOKUP(D199,'product master'!A:C,2,FALSE),"Not Found")</f>
        <v>Wireless Mouse</v>
      </c>
      <c r="J199" t="str">
        <f>IFERROR(VLOOKUP(D199,'product master'!A:C,3,FALSE),"Not Found")</f>
        <v>Accessories</v>
      </c>
    </row>
    <row r="200" spans="1:10" x14ac:dyDescent="0.3">
      <c r="A200" t="s">
        <v>233</v>
      </c>
      <c r="B200" s="1">
        <v>46102</v>
      </c>
      <c r="C200" t="s">
        <v>18</v>
      </c>
      <c r="D200" t="s">
        <v>180</v>
      </c>
      <c r="E200">
        <v>3</v>
      </c>
      <c r="F200">
        <v>9500</v>
      </c>
      <c r="G200" t="s">
        <v>20</v>
      </c>
      <c r="H200">
        <f t="shared" si="3"/>
        <v>28500</v>
      </c>
      <c r="I200" t="str">
        <f>IFERROR(VLOOKUP(D200,'product master'!A:C,2,FALSE),"Not Found")</f>
        <v>Printer</v>
      </c>
      <c r="J200" t="str">
        <f>IFERROR(VLOOKUP(D200,'product master'!A:C,3,FALSE),"Not Found")</f>
        <v>Electronics</v>
      </c>
    </row>
    <row r="201" spans="1:10" x14ac:dyDescent="0.3">
      <c r="A201" t="s">
        <v>234</v>
      </c>
      <c r="B201" s="1">
        <v>46102</v>
      </c>
      <c r="C201" t="s">
        <v>25</v>
      </c>
      <c r="D201" t="s">
        <v>58</v>
      </c>
      <c r="E201">
        <v>18</v>
      </c>
      <c r="F201">
        <v>1200</v>
      </c>
      <c r="G201" t="s">
        <v>26</v>
      </c>
      <c r="H201">
        <f t="shared" si="3"/>
        <v>21600</v>
      </c>
      <c r="I201" t="str">
        <f>IFERROR(VLOOKUP(D201,'product master'!A:C,2,FALSE),"Not Found")</f>
        <v>Keyboard</v>
      </c>
      <c r="J201" t="str">
        <f>IFERROR(VLOOKUP(D201,'product master'!A:C,3,FALSE),"Not Found")</f>
        <v>Accessories</v>
      </c>
    </row>
    <row r="202" spans="1:10" x14ac:dyDescent="0.3">
      <c r="A202" t="s">
        <v>235</v>
      </c>
      <c r="B202" s="1">
        <v>46103</v>
      </c>
      <c r="C202" t="s">
        <v>18</v>
      </c>
      <c r="D202" t="s">
        <v>51</v>
      </c>
      <c r="E202">
        <v>19</v>
      </c>
      <c r="F202">
        <v>2200</v>
      </c>
      <c r="G202" t="s">
        <v>20</v>
      </c>
      <c r="H202">
        <f t="shared" si="3"/>
        <v>41800</v>
      </c>
      <c r="I202" t="str">
        <f>IFERROR(VLOOKUP(D202,'product master'!A:C,2,FALSE),"Not Found")</f>
        <v>Headphones</v>
      </c>
      <c r="J202" t="str">
        <f>IFERROR(VLOOKUP(D202,'product master'!A:C,3,FALSE),"Not Found")</f>
        <v>Accessories</v>
      </c>
    </row>
    <row r="203" spans="1:10" x14ac:dyDescent="0.3">
      <c r="A203" t="s">
        <v>236</v>
      </c>
      <c r="B203" s="1">
        <v>46104</v>
      </c>
      <c r="C203" t="s">
        <v>12</v>
      </c>
      <c r="D203" t="s">
        <v>19</v>
      </c>
      <c r="E203">
        <v>14</v>
      </c>
      <c r="F203">
        <v>650</v>
      </c>
      <c r="G203" t="s">
        <v>43</v>
      </c>
      <c r="H203">
        <f t="shared" si="3"/>
        <v>9100</v>
      </c>
      <c r="I203" t="str">
        <f>IFERROR(VLOOKUP(D203,'product master'!A:C,2,FALSE),"Not Found")</f>
        <v>Wireless Mouse</v>
      </c>
      <c r="J203" t="str">
        <f>IFERROR(VLOOKUP(D203,'product master'!A:C,3,FALSE),"Not Found")</f>
        <v>Accessories</v>
      </c>
    </row>
    <row r="204" spans="1:10" x14ac:dyDescent="0.3">
      <c r="A204" t="s">
        <v>237</v>
      </c>
      <c r="B204" s="1">
        <v>46105</v>
      </c>
      <c r="C204" t="s">
        <v>8</v>
      </c>
      <c r="D204" t="s">
        <v>41</v>
      </c>
      <c r="E204">
        <v>3</v>
      </c>
      <c r="F204">
        <v>9800</v>
      </c>
      <c r="G204" t="s">
        <v>49</v>
      </c>
      <c r="H204">
        <f t="shared" si="3"/>
        <v>29400</v>
      </c>
      <c r="I204" t="str">
        <f>IFERROR(VLOOKUP(D204,'product master'!A:C,2,FALSE),"Not Found")</f>
        <v>Study Desk</v>
      </c>
      <c r="J204" t="str">
        <f>IFERROR(VLOOKUP(D204,'product master'!A:C,3,FALSE),"Not Found")</f>
        <v>Furniture</v>
      </c>
    </row>
    <row r="205" spans="1:10" x14ac:dyDescent="0.3">
      <c r="A205" t="s">
        <v>238</v>
      </c>
      <c r="B205" s="1">
        <v>46105</v>
      </c>
      <c r="C205" t="s">
        <v>12</v>
      </c>
      <c r="D205" t="s">
        <v>13</v>
      </c>
      <c r="E205">
        <v>72</v>
      </c>
      <c r="F205">
        <v>180</v>
      </c>
      <c r="G205" t="s">
        <v>43</v>
      </c>
      <c r="H205">
        <f t="shared" si="3"/>
        <v>12960</v>
      </c>
      <c r="I205" t="str">
        <f>IFERROR(VLOOKUP(D205,'product master'!A:C,2,FALSE),"Not Found")</f>
        <v>Pen Box</v>
      </c>
      <c r="J205" t="str">
        <f>IFERROR(VLOOKUP(D205,'product master'!A:C,3,FALSE),"Not Found")</f>
        <v>Stationery</v>
      </c>
    </row>
    <row r="206" spans="1:10" x14ac:dyDescent="0.3">
      <c r="A206" t="s">
        <v>239</v>
      </c>
      <c r="B206" s="1">
        <v>46106</v>
      </c>
      <c r="C206" t="s">
        <v>8</v>
      </c>
      <c r="D206" t="s">
        <v>13</v>
      </c>
      <c r="E206">
        <v>43</v>
      </c>
      <c r="F206">
        <v>180</v>
      </c>
      <c r="G206" t="s">
        <v>23</v>
      </c>
      <c r="H206">
        <f t="shared" si="3"/>
        <v>7740</v>
      </c>
      <c r="I206" t="str">
        <f>IFERROR(VLOOKUP(D206,'product master'!A:C,2,FALSE),"Not Found")</f>
        <v>Pen Box</v>
      </c>
      <c r="J206" t="str">
        <f>IFERROR(VLOOKUP(D206,'product master'!A:C,3,FALSE),"Not Found")</f>
        <v>Stationery</v>
      </c>
    </row>
    <row r="207" spans="1:10" x14ac:dyDescent="0.3">
      <c r="A207" t="s">
        <v>240</v>
      </c>
      <c r="B207" s="1">
        <v>46106</v>
      </c>
      <c r="C207" t="s">
        <v>12</v>
      </c>
      <c r="D207" t="s">
        <v>19</v>
      </c>
      <c r="E207">
        <v>5</v>
      </c>
      <c r="F207">
        <v>650</v>
      </c>
      <c r="G207" t="s">
        <v>28</v>
      </c>
      <c r="H207">
        <f t="shared" si="3"/>
        <v>3250</v>
      </c>
      <c r="I207" t="str">
        <f>IFERROR(VLOOKUP(D207,'product master'!A:C,2,FALSE),"Not Found")</f>
        <v>Wireless Mouse</v>
      </c>
      <c r="J207" t="str">
        <f>IFERROR(VLOOKUP(D207,'product master'!A:C,3,FALSE),"Not Found")</f>
        <v>Accessories</v>
      </c>
    </row>
    <row r="208" spans="1:10" x14ac:dyDescent="0.3">
      <c r="A208" t="s">
        <v>241</v>
      </c>
      <c r="B208" s="1">
        <v>46106</v>
      </c>
      <c r="C208" t="s">
        <v>25</v>
      </c>
      <c r="D208" t="s">
        <v>36</v>
      </c>
      <c r="E208">
        <v>1</v>
      </c>
      <c r="F208">
        <v>12000</v>
      </c>
      <c r="G208" t="s">
        <v>47</v>
      </c>
      <c r="H208">
        <f t="shared" si="3"/>
        <v>12000</v>
      </c>
      <c r="I208" t="str">
        <f>IFERROR(VLOOKUP(D208,'product master'!A:C,2,FALSE),"Not Found")</f>
        <v>Monitor</v>
      </c>
      <c r="J208" t="str">
        <f>IFERROR(VLOOKUP(D208,'product master'!A:C,3,FALSE),"Not Found")</f>
        <v>Electronics</v>
      </c>
    </row>
    <row r="209" spans="1:10" x14ac:dyDescent="0.3">
      <c r="A209" t="s">
        <v>242</v>
      </c>
      <c r="B209" s="1">
        <v>46107</v>
      </c>
      <c r="C209" t="s">
        <v>18</v>
      </c>
      <c r="D209" t="s">
        <v>16</v>
      </c>
      <c r="E209">
        <v>2</v>
      </c>
      <c r="F209">
        <v>45000</v>
      </c>
      <c r="G209" t="s">
        <v>20</v>
      </c>
      <c r="H209">
        <f t="shared" si="3"/>
        <v>90000</v>
      </c>
      <c r="I209" t="str">
        <f>IFERROR(VLOOKUP(D209,'product master'!A:C,2,FALSE),"Not Found")</f>
        <v>Laptop</v>
      </c>
      <c r="J209" t="str">
        <f>IFERROR(VLOOKUP(D209,'product master'!A:C,3,FALSE),"Not Found")</f>
        <v>Electronics</v>
      </c>
    </row>
    <row r="210" spans="1:10" x14ac:dyDescent="0.3">
      <c r="A210" t="s">
        <v>243</v>
      </c>
      <c r="B210" s="1">
        <v>46107</v>
      </c>
      <c r="C210" t="s">
        <v>12</v>
      </c>
      <c r="D210" t="s">
        <v>9</v>
      </c>
      <c r="E210">
        <v>6</v>
      </c>
      <c r="F210">
        <v>7500</v>
      </c>
      <c r="G210" t="s">
        <v>28</v>
      </c>
      <c r="H210">
        <f t="shared" si="3"/>
        <v>45000</v>
      </c>
      <c r="I210" t="str">
        <f>IFERROR(VLOOKUP(D210,'product master'!A:C,2,FALSE),"Not Found")</f>
        <v>Office Chair</v>
      </c>
      <c r="J210" t="str">
        <f>IFERROR(VLOOKUP(D210,'product master'!A:C,3,FALSE),"Not Found")</f>
        <v>Furniture</v>
      </c>
    </row>
    <row r="211" spans="1:10" x14ac:dyDescent="0.3">
      <c r="A211" t="s">
        <v>244</v>
      </c>
      <c r="B211" s="1">
        <v>46108</v>
      </c>
      <c r="C211" t="s">
        <v>8</v>
      </c>
      <c r="D211" t="s">
        <v>19</v>
      </c>
      <c r="E211">
        <v>14</v>
      </c>
      <c r="F211">
        <v>650</v>
      </c>
      <c r="G211" t="s">
        <v>23</v>
      </c>
      <c r="H211">
        <f t="shared" si="3"/>
        <v>9100</v>
      </c>
      <c r="I211" t="str">
        <f>IFERROR(VLOOKUP(D211,'product master'!A:C,2,FALSE),"Not Found")</f>
        <v>Wireless Mouse</v>
      </c>
      <c r="J211" t="str">
        <f>IFERROR(VLOOKUP(D211,'product master'!A:C,3,FALSE),"Not Found")</f>
        <v>Accessories</v>
      </c>
    </row>
    <row r="212" spans="1:10" x14ac:dyDescent="0.3">
      <c r="A212" t="s">
        <v>245</v>
      </c>
      <c r="B212" s="1">
        <v>46109</v>
      </c>
      <c r="C212" t="s">
        <v>18</v>
      </c>
      <c r="D212" t="s">
        <v>36</v>
      </c>
      <c r="E212">
        <v>1</v>
      </c>
      <c r="F212">
        <v>12000</v>
      </c>
      <c r="G212" t="s">
        <v>30</v>
      </c>
      <c r="H212">
        <f t="shared" si="3"/>
        <v>12000</v>
      </c>
      <c r="I212" t="str">
        <f>IFERROR(VLOOKUP(D212,'product master'!A:C,2,FALSE),"Not Found")</f>
        <v>Monitor</v>
      </c>
      <c r="J212" t="str">
        <f>IFERROR(VLOOKUP(D212,'product master'!A:C,3,FALSE),"Not Found")</f>
        <v>Electronics</v>
      </c>
    </row>
    <row r="213" spans="1:10" x14ac:dyDescent="0.3">
      <c r="A213" t="s">
        <v>246</v>
      </c>
      <c r="B213" s="1">
        <v>46110</v>
      </c>
      <c r="C213" t="s">
        <v>8</v>
      </c>
      <c r="D213" t="s">
        <v>19</v>
      </c>
      <c r="E213">
        <v>6</v>
      </c>
      <c r="F213">
        <v>650</v>
      </c>
      <c r="G213" t="s">
        <v>10</v>
      </c>
      <c r="H213">
        <f t="shared" si="3"/>
        <v>3900</v>
      </c>
      <c r="I213" t="str">
        <f>IFERROR(VLOOKUP(D213,'product master'!A:C,2,FALSE),"Not Found")</f>
        <v>Wireless Mouse</v>
      </c>
      <c r="J213" t="str">
        <f>IFERROR(VLOOKUP(D213,'product master'!A:C,3,FALSE),"Not Found")</f>
        <v>Accessories</v>
      </c>
    </row>
    <row r="214" spans="1:10" x14ac:dyDescent="0.3">
      <c r="A214" t="s">
        <v>247</v>
      </c>
      <c r="B214" s="1">
        <v>46110</v>
      </c>
      <c r="C214" t="s">
        <v>12</v>
      </c>
      <c r="D214" t="s">
        <v>9</v>
      </c>
      <c r="E214">
        <v>5</v>
      </c>
      <c r="F214" s="2">
        <v>7500</v>
      </c>
      <c r="G214" t="s">
        <v>14</v>
      </c>
      <c r="H214">
        <f t="shared" si="3"/>
        <v>37500</v>
      </c>
      <c r="I214" t="str">
        <f>IFERROR(VLOOKUP(D214,'product master'!A:C,2,FALSE),"Not Found")</f>
        <v>Office Chair</v>
      </c>
      <c r="J214" t="str">
        <f>IFERROR(VLOOKUP(D214,'product master'!A:C,3,FALSE),"Not Found")</f>
        <v>Furniture</v>
      </c>
    </row>
    <row r="215" spans="1:10" x14ac:dyDescent="0.3">
      <c r="A215" t="s">
        <v>248</v>
      </c>
      <c r="B215" s="1">
        <v>46111</v>
      </c>
      <c r="C215" t="s">
        <v>12</v>
      </c>
      <c r="D215" t="s">
        <v>109</v>
      </c>
      <c r="E215">
        <v>13</v>
      </c>
      <c r="F215">
        <v>2200</v>
      </c>
      <c r="G215" t="s">
        <v>28</v>
      </c>
      <c r="H215">
        <f t="shared" si="3"/>
        <v>28600</v>
      </c>
      <c r="I215" t="str">
        <f>IFERROR(VLOOKUP(D215,'product master'!A:C,2,FALSE),"Not Found")</f>
        <v>Not Found</v>
      </c>
      <c r="J215" t="str">
        <f>IFERROR(VLOOKUP(D215,'product master'!A:C,3,FALSE),"Not Found")</f>
        <v>Not Found</v>
      </c>
    </row>
    <row r="216" spans="1:10" x14ac:dyDescent="0.3">
      <c r="A216" t="s">
        <v>249</v>
      </c>
      <c r="B216" s="1">
        <v>46111</v>
      </c>
      <c r="C216" t="s">
        <v>18</v>
      </c>
      <c r="D216" t="s">
        <v>180</v>
      </c>
      <c r="E216">
        <v>3</v>
      </c>
      <c r="F216">
        <v>9500</v>
      </c>
      <c r="G216" t="s">
        <v>20</v>
      </c>
      <c r="H216">
        <f t="shared" si="3"/>
        <v>28500</v>
      </c>
      <c r="I216" t="str">
        <f>IFERROR(VLOOKUP(D216,'product master'!A:C,2,FALSE),"Not Found")</f>
        <v>Printer</v>
      </c>
      <c r="J216" t="str">
        <f>IFERROR(VLOOKUP(D216,'product master'!A:C,3,FALSE),"Not Found")</f>
        <v>Electronics</v>
      </c>
    </row>
    <row r="217" spans="1:10" x14ac:dyDescent="0.3">
      <c r="A217" t="s">
        <v>250</v>
      </c>
      <c r="B217" s="1">
        <v>46111</v>
      </c>
      <c r="C217" t="s">
        <v>25</v>
      </c>
      <c r="D217" t="s">
        <v>58</v>
      </c>
      <c r="E217">
        <v>15</v>
      </c>
      <c r="F217">
        <v>1200</v>
      </c>
      <c r="G217" t="s">
        <v>26</v>
      </c>
      <c r="H217">
        <f t="shared" si="3"/>
        <v>18000</v>
      </c>
      <c r="I217" t="str">
        <f>IFERROR(VLOOKUP(D217,'product master'!A:C,2,FALSE),"Not Found")</f>
        <v>Keyboard</v>
      </c>
      <c r="J217" t="str">
        <f>IFERROR(VLOOKUP(D217,'product master'!A:C,3,FALSE),"Not Found")</f>
        <v>Accessories</v>
      </c>
    </row>
    <row r="218" spans="1:10" x14ac:dyDescent="0.3">
      <c r="A218" t="s">
        <v>251</v>
      </c>
      <c r="B218" s="1">
        <v>46112</v>
      </c>
      <c r="C218" t="s">
        <v>18</v>
      </c>
      <c r="D218" t="s">
        <v>22</v>
      </c>
      <c r="E218">
        <v>64</v>
      </c>
      <c r="F218">
        <v>320</v>
      </c>
      <c r="G218" t="s">
        <v>33</v>
      </c>
      <c r="H218">
        <f t="shared" si="3"/>
        <v>20480</v>
      </c>
      <c r="I218" t="str">
        <f>IFERROR(VLOOKUP(D218,'product master'!A:C,2,FALSE),"Not Found")</f>
        <v>Notebook Pack</v>
      </c>
      <c r="J218" t="str">
        <f>IFERROR(VLOOKUP(D218,'product master'!A:C,3,FALSE),"Not Found")</f>
        <v>Stationery</v>
      </c>
    </row>
    <row r="219" spans="1:10" x14ac:dyDescent="0.3">
      <c r="A219" t="s">
        <v>252</v>
      </c>
      <c r="B219" s="1">
        <v>46112</v>
      </c>
      <c r="C219" t="s">
        <v>18</v>
      </c>
      <c r="D219" t="s">
        <v>19</v>
      </c>
      <c r="E219">
        <v>19</v>
      </c>
      <c r="F219">
        <v>650</v>
      </c>
      <c r="G219" t="s">
        <v>20</v>
      </c>
      <c r="H219">
        <f t="shared" si="3"/>
        <v>12350</v>
      </c>
      <c r="I219" t="str">
        <f>IFERROR(VLOOKUP(D219,'product master'!A:C,2,FALSE),"Not Found")</f>
        <v>Wireless Mouse</v>
      </c>
      <c r="J219" t="str">
        <f>IFERROR(VLOOKUP(D219,'product master'!A:C,3,FALSE),"Not Found")</f>
        <v>Accessories</v>
      </c>
    </row>
    <row r="220" spans="1:10" x14ac:dyDescent="0.3">
      <c r="A220" t="s">
        <v>253</v>
      </c>
      <c r="B220" s="1">
        <v>46112</v>
      </c>
      <c r="C220" t="s">
        <v>8</v>
      </c>
      <c r="D220" t="s">
        <v>180</v>
      </c>
      <c r="E220">
        <v>3</v>
      </c>
      <c r="F220">
        <v>9500</v>
      </c>
      <c r="G220" t="s">
        <v>49</v>
      </c>
      <c r="H220">
        <f t="shared" si="3"/>
        <v>28500</v>
      </c>
      <c r="I220" t="str">
        <f>IFERROR(VLOOKUP(D220,'product master'!A:C,2,FALSE),"Not Found")</f>
        <v>Printer</v>
      </c>
      <c r="J220" t="str">
        <f>IFERROR(VLOOKUP(D220,'product master'!A:C,3,FALSE),"Not Found")</f>
        <v>Electronics</v>
      </c>
    </row>
    <row r="221" spans="1:10" x14ac:dyDescent="0.3">
      <c r="A221" t="s">
        <v>254</v>
      </c>
      <c r="B221" s="1">
        <v>46112</v>
      </c>
      <c r="C221" t="s">
        <v>12</v>
      </c>
      <c r="D221" t="s">
        <v>51</v>
      </c>
      <c r="E221">
        <v>12</v>
      </c>
      <c r="F221">
        <v>2200</v>
      </c>
      <c r="G221" t="s">
        <v>43</v>
      </c>
      <c r="H221">
        <f t="shared" si="3"/>
        <v>26400</v>
      </c>
      <c r="I221" t="str">
        <f>IFERROR(VLOOKUP(D221,'product master'!A:C,2,FALSE),"Not Found")</f>
        <v>Headphones</v>
      </c>
      <c r="J221" t="str">
        <f>IFERROR(VLOOKUP(D221,'product master'!A:C,3,FALSE),"Not Found")</f>
        <v>Accessories</v>
      </c>
    </row>
    <row r="222" spans="1:10" x14ac:dyDescent="0.3">
      <c r="A222" t="s">
        <v>255</v>
      </c>
      <c r="B222" s="1">
        <v>46112</v>
      </c>
      <c r="C222" t="s">
        <v>12</v>
      </c>
      <c r="D222" t="s">
        <v>41</v>
      </c>
      <c r="E222">
        <v>6</v>
      </c>
      <c r="F222">
        <v>9800</v>
      </c>
      <c r="G222" t="s">
        <v>14</v>
      </c>
      <c r="H222">
        <f t="shared" si="3"/>
        <v>58800</v>
      </c>
      <c r="I222" t="str">
        <f>IFERROR(VLOOKUP(D222,'product master'!A:C,2,FALSE),"Not Found")</f>
        <v>Study Desk</v>
      </c>
      <c r="J222" t="str">
        <f>IFERROR(VLOOKUP(D222,'product master'!A:C,3,FALSE),"Not Found")</f>
        <v>Furniture</v>
      </c>
    </row>
    <row r="223" spans="1:10" x14ac:dyDescent="0.3">
      <c r="A223" t="s">
        <v>256</v>
      </c>
      <c r="B223" s="1">
        <v>46113</v>
      </c>
      <c r="C223" t="s">
        <v>25</v>
      </c>
      <c r="D223" t="s">
        <v>58</v>
      </c>
      <c r="E223">
        <v>16</v>
      </c>
      <c r="F223">
        <v>1200</v>
      </c>
      <c r="G223" t="s">
        <v>39</v>
      </c>
      <c r="H223">
        <f t="shared" si="3"/>
        <v>19200</v>
      </c>
      <c r="I223" t="str">
        <f>IFERROR(VLOOKUP(D223,'product master'!A:C,2,FALSE),"Not Found")</f>
        <v>Keyboard</v>
      </c>
      <c r="J223" t="str">
        <f>IFERROR(VLOOKUP(D223,'product master'!A:C,3,FALSE),"Not Found")</f>
        <v>Accessories</v>
      </c>
    </row>
    <row r="224" spans="1:10" x14ac:dyDescent="0.3">
      <c r="A224" t="s">
        <v>257</v>
      </c>
      <c r="B224" s="1">
        <v>46113</v>
      </c>
      <c r="C224" t="s">
        <v>18</v>
      </c>
      <c r="D224" t="s">
        <v>22</v>
      </c>
      <c r="E224">
        <v>53</v>
      </c>
      <c r="F224">
        <v>320</v>
      </c>
      <c r="G224" t="s">
        <v>33</v>
      </c>
      <c r="H224">
        <f t="shared" si="3"/>
        <v>16960</v>
      </c>
      <c r="I224" t="str">
        <f>IFERROR(VLOOKUP(D224,'product master'!A:C,2,FALSE),"Not Found")</f>
        <v>Notebook Pack</v>
      </c>
      <c r="J224" t="str">
        <f>IFERROR(VLOOKUP(D224,'product master'!A:C,3,FALSE),"Not Found")</f>
        <v>Stationery</v>
      </c>
    </row>
    <row r="225" spans="1:10" x14ac:dyDescent="0.3">
      <c r="A225" t="s">
        <v>258</v>
      </c>
      <c r="B225" s="1">
        <v>46114</v>
      </c>
      <c r="C225" t="s">
        <v>18</v>
      </c>
      <c r="D225" t="s">
        <v>51</v>
      </c>
      <c r="E225">
        <v>15</v>
      </c>
      <c r="F225">
        <v>2200</v>
      </c>
      <c r="G225" t="s">
        <v>20</v>
      </c>
      <c r="H225">
        <f t="shared" si="3"/>
        <v>33000</v>
      </c>
      <c r="I225" t="str">
        <f>IFERROR(VLOOKUP(D225,'product master'!A:C,2,FALSE),"Not Found")</f>
        <v>Headphones</v>
      </c>
      <c r="J225" t="str">
        <f>IFERROR(VLOOKUP(D225,'product master'!A:C,3,FALSE),"Not Found")</f>
        <v>Accessories</v>
      </c>
    </row>
    <row r="226" spans="1:10" x14ac:dyDescent="0.3">
      <c r="A226" t="s">
        <v>259</v>
      </c>
      <c r="B226" s="1">
        <v>46114</v>
      </c>
      <c r="C226" t="s">
        <v>12</v>
      </c>
      <c r="D226" t="s">
        <v>22</v>
      </c>
      <c r="E226">
        <v>20</v>
      </c>
      <c r="F226">
        <v>320</v>
      </c>
      <c r="G226" t="s">
        <v>43</v>
      </c>
      <c r="H226">
        <f t="shared" si="3"/>
        <v>6400</v>
      </c>
      <c r="I226" t="str">
        <f>IFERROR(VLOOKUP(D226,'product master'!A:C,2,FALSE),"Not Found")</f>
        <v>Notebook Pack</v>
      </c>
      <c r="J226" t="str">
        <f>IFERROR(VLOOKUP(D226,'product master'!A:C,3,FALSE),"Not Found")</f>
        <v>Stationery</v>
      </c>
    </row>
    <row r="227" spans="1:10" x14ac:dyDescent="0.3">
      <c r="A227" t="s">
        <v>260</v>
      </c>
      <c r="B227" s="1">
        <v>46114</v>
      </c>
      <c r="C227" t="s">
        <v>18</v>
      </c>
      <c r="D227" t="s">
        <v>58</v>
      </c>
      <c r="E227">
        <v>5</v>
      </c>
      <c r="F227">
        <v>1200</v>
      </c>
      <c r="G227" t="s">
        <v>30</v>
      </c>
      <c r="H227">
        <f t="shared" si="3"/>
        <v>6000</v>
      </c>
      <c r="I227" t="str">
        <f>IFERROR(VLOOKUP(D227,'product master'!A:C,2,FALSE),"Not Found")</f>
        <v>Keyboard</v>
      </c>
      <c r="J227" t="str">
        <f>IFERROR(VLOOKUP(D227,'product master'!A:C,3,FALSE),"Not Found")</f>
        <v>Accessories</v>
      </c>
    </row>
    <row r="228" spans="1:10" x14ac:dyDescent="0.3">
      <c r="A228" t="s">
        <v>261</v>
      </c>
      <c r="B228" s="1">
        <v>46114</v>
      </c>
      <c r="C228" t="s">
        <v>25</v>
      </c>
      <c r="D228" t="s">
        <v>19</v>
      </c>
      <c r="E228">
        <v>20</v>
      </c>
      <c r="F228">
        <v>650</v>
      </c>
      <c r="G228" t="s">
        <v>543</v>
      </c>
      <c r="H228">
        <f t="shared" si="3"/>
        <v>13000</v>
      </c>
      <c r="I228" t="str">
        <f>IFERROR(VLOOKUP(D228,'product master'!A:C,2,FALSE),"Not Found")</f>
        <v>Wireless Mouse</v>
      </c>
      <c r="J228" t="str">
        <f>IFERROR(VLOOKUP(D228,'product master'!A:C,3,FALSE),"Not Found")</f>
        <v>Accessories</v>
      </c>
    </row>
    <row r="229" spans="1:10" x14ac:dyDescent="0.3">
      <c r="A229" t="s">
        <v>262</v>
      </c>
      <c r="B229" s="1">
        <v>46114</v>
      </c>
      <c r="C229" t="s">
        <v>8</v>
      </c>
      <c r="D229" t="s">
        <v>58</v>
      </c>
      <c r="E229">
        <v>18</v>
      </c>
      <c r="F229">
        <v>1200</v>
      </c>
      <c r="G229" t="s">
        <v>23</v>
      </c>
      <c r="H229">
        <f t="shared" si="3"/>
        <v>21600</v>
      </c>
      <c r="I229" t="str">
        <f>IFERROR(VLOOKUP(D229,'product master'!A:C,2,FALSE),"Not Found")</f>
        <v>Keyboard</v>
      </c>
      <c r="J229" t="str">
        <f>IFERROR(VLOOKUP(D229,'product master'!A:C,3,FALSE),"Not Found")</f>
        <v>Accessories</v>
      </c>
    </row>
    <row r="230" spans="1:10" x14ac:dyDescent="0.3">
      <c r="A230" t="s">
        <v>263</v>
      </c>
      <c r="B230" s="1">
        <v>46114</v>
      </c>
      <c r="C230" t="s">
        <v>25</v>
      </c>
      <c r="D230" t="s">
        <v>16</v>
      </c>
      <c r="E230">
        <v>5</v>
      </c>
      <c r="F230">
        <v>45000</v>
      </c>
      <c r="G230" t="s">
        <v>39</v>
      </c>
      <c r="H230">
        <f t="shared" si="3"/>
        <v>225000</v>
      </c>
      <c r="I230" t="str">
        <f>IFERROR(VLOOKUP(D230,'product master'!A:C,2,FALSE),"Not Found")</f>
        <v>Laptop</v>
      </c>
      <c r="J230" t="str">
        <f>IFERROR(VLOOKUP(D230,'product master'!A:C,3,FALSE),"Not Found")</f>
        <v>Electronics</v>
      </c>
    </row>
    <row r="231" spans="1:10" x14ac:dyDescent="0.3">
      <c r="A231" t="s">
        <v>264</v>
      </c>
      <c r="B231" s="1">
        <v>46115</v>
      </c>
      <c r="C231" t="s">
        <v>25</v>
      </c>
      <c r="D231" t="s">
        <v>9</v>
      </c>
      <c r="E231">
        <v>6</v>
      </c>
      <c r="F231">
        <v>7500</v>
      </c>
      <c r="G231" t="s">
        <v>39</v>
      </c>
      <c r="H231">
        <f t="shared" si="3"/>
        <v>45000</v>
      </c>
      <c r="I231" t="str">
        <f>IFERROR(VLOOKUP(D231,'product master'!A:C,2,FALSE),"Not Found")</f>
        <v>Office Chair</v>
      </c>
      <c r="J231" t="str">
        <f>IFERROR(VLOOKUP(D231,'product master'!A:C,3,FALSE),"Not Found")</f>
        <v>Furniture</v>
      </c>
    </row>
    <row r="232" spans="1:10" x14ac:dyDescent="0.3">
      <c r="A232" t="s">
        <v>265</v>
      </c>
      <c r="B232" s="1">
        <v>46115</v>
      </c>
      <c r="C232" t="s">
        <v>18</v>
      </c>
      <c r="D232" t="s">
        <v>16</v>
      </c>
      <c r="E232">
        <v>5</v>
      </c>
      <c r="F232">
        <v>45000</v>
      </c>
      <c r="G232" t="s">
        <v>30</v>
      </c>
      <c r="H232">
        <f t="shared" si="3"/>
        <v>225000</v>
      </c>
      <c r="I232" t="str">
        <f>IFERROR(VLOOKUP(D232,'product master'!A:C,2,FALSE),"Not Found")</f>
        <v>Laptop</v>
      </c>
      <c r="J232" t="str">
        <f>IFERROR(VLOOKUP(D232,'product master'!A:C,3,FALSE),"Not Found")</f>
        <v>Electronics</v>
      </c>
    </row>
    <row r="233" spans="1:10" x14ac:dyDescent="0.3">
      <c r="A233" t="s">
        <v>266</v>
      </c>
      <c r="B233" s="1">
        <v>46116</v>
      </c>
      <c r="C233" t="s">
        <v>12</v>
      </c>
      <c r="D233" t="s">
        <v>180</v>
      </c>
      <c r="E233">
        <v>5</v>
      </c>
      <c r="F233">
        <v>9500</v>
      </c>
      <c r="G233" t="s">
        <v>14</v>
      </c>
      <c r="H233">
        <f t="shared" si="3"/>
        <v>47500</v>
      </c>
      <c r="I233" t="str">
        <f>IFERROR(VLOOKUP(D233,'product master'!A:C,2,FALSE),"Not Found")</f>
        <v>Printer</v>
      </c>
      <c r="J233" t="str">
        <f>IFERROR(VLOOKUP(D233,'product master'!A:C,3,FALSE),"Not Found")</f>
        <v>Electronics</v>
      </c>
    </row>
    <row r="234" spans="1:10" x14ac:dyDescent="0.3">
      <c r="A234" t="s">
        <v>267</v>
      </c>
      <c r="B234" s="1">
        <v>46116</v>
      </c>
      <c r="C234" t="s">
        <v>8</v>
      </c>
      <c r="D234" t="s">
        <v>51</v>
      </c>
      <c r="E234">
        <v>10</v>
      </c>
      <c r="F234">
        <v>2200</v>
      </c>
      <c r="G234" t="s">
        <v>49</v>
      </c>
      <c r="H234">
        <f t="shared" si="3"/>
        <v>22000</v>
      </c>
      <c r="I234" t="str">
        <f>IFERROR(VLOOKUP(D234,'product master'!A:C,2,FALSE),"Not Found")</f>
        <v>Headphones</v>
      </c>
      <c r="J234" t="str">
        <f>IFERROR(VLOOKUP(D234,'product master'!A:C,3,FALSE),"Not Found")</f>
        <v>Accessories</v>
      </c>
    </row>
    <row r="235" spans="1:10" x14ac:dyDescent="0.3">
      <c r="A235" t="s">
        <v>268</v>
      </c>
      <c r="B235" s="1">
        <v>46116</v>
      </c>
      <c r="C235" t="s">
        <v>12</v>
      </c>
      <c r="D235" t="s">
        <v>19</v>
      </c>
      <c r="E235">
        <v>7</v>
      </c>
      <c r="F235">
        <v>650</v>
      </c>
      <c r="G235" t="s">
        <v>14</v>
      </c>
      <c r="H235">
        <f t="shared" si="3"/>
        <v>4550</v>
      </c>
      <c r="I235" t="str">
        <f>IFERROR(VLOOKUP(D235,'product master'!A:C,2,FALSE),"Not Found")</f>
        <v>Wireless Mouse</v>
      </c>
      <c r="J235" t="str">
        <f>IFERROR(VLOOKUP(D235,'product master'!A:C,3,FALSE),"Not Found")</f>
        <v>Accessories</v>
      </c>
    </row>
    <row r="236" spans="1:10" x14ac:dyDescent="0.3">
      <c r="A236" t="s">
        <v>269</v>
      </c>
      <c r="B236" s="1">
        <v>46116</v>
      </c>
      <c r="C236" t="s">
        <v>18</v>
      </c>
      <c r="D236" t="s">
        <v>13</v>
      </c>
      <c r="E236">
        <v>57</v>
      </c>
      <c r="F236">
        <v>180</v>
      </c>
      <c r="G236" t="s">
        <v>33</v>
      </c>
      <c r="H236">
        <f t="shared" si="3"/>
        <v>10260</v>
      </c>
      <c r="I236" t="str">
        <f>IFERROR(VLOOKUP(D236,'product master'!A:C,2,FALSE),"Not Found")</f>
        <v>Pen Box</v>
      </c>
      <c r="J236" t="str">
        <f>IFERROR(VLOOKUP(D236,'product master'!A:C,3,FALSE),"Not Found")</f>
        <v>Stationery</v>
      </c>
    </row>
    <row r="237" spans="1:10" x14ac:dyDescent="0.3">
      <c r="A237" t="s">
        <v>270</v>
      </c>
      <c r="B237" s="1">
        <v>46117</v>
      </c>
      <c r="C237" t="s">
        <v>12</v>
      </c>
      <c r="D237" t="s">
        <v>16</v>
      </c>
      <c r="E237">
        <v>1</v>
      </c>
      <c r="F237">
        <v>45000</v>
      </c>
      <c r="G237" t="s">
        <v>14</v>
      </c>
      <c r="H237">
        <f t="shared" si="3"/>
        <v>45000</v>
      </c>
      <c r="I237" t="str">
        <f>IFERROR(VLOOKUP(D237,'product master'!A:C,2,FALSE),"Not Found")</f>
        <v>Laptop</v>
      </c>
      <c r="J237" t="str">
        <f>IFERROR(VLOOKUP(D237,'product master'!A:C,3,FALSE),"Not Found")</f>
        <v>Electronics</v>
      </c>
    </row>
    <row r="238" spans="1:10" x14ac:dyDescent="0.3">
      <c r="A238" t="s">
        <v>271</v>
      </c>
      <c r="B238" s="1">
        <v>46117</v>
      </c>
      <c r="C238" t="s">
        <v>12</v>
      </c>
      <c r="D238" t="s">
        <v>180</v>
      </c>
      <c r="E238">
        <v>2</v>
      </c>
      <c r="F238">
        <v>9500</v>
      </c>
      <c r="G238" t="s">
        <v>28</v>
      </c>
      <c r="H238">
        <f t="shared" si="3"/>
        <v>19000</v>
      </c>
      <c r="I238" t="str">
        <f>IFERROR(VLOOKUP(D238,'product master'!A:C,2,FALSE),"Not Found")</f>
        <v>Printer</v>
      </c>
      <c r="J238" t="str">
        <f>IFERROR(VLOOKUP(D238,'product master'!A:C,3,FALSE),"Not Found")</f>
        <v>Electronics</v>
      </c>
    </row>
    <row r="239" spans="1:10" x14ac:dyDescent="0.3">
      <c r="A239" t="s">
        <v>272</v>
      </c>
      <c r="B239" s="1">
        <v>46117</v>
      </c>
      <c r="C239" t="s">
        <v>8</v>
      </c>
      <c r="D239" t="s">
        <v>51</v>
      </c>
      <c r="E239">
        <v>8</v>
      </c>
      <c r="F239">
        <v>2200</v>
      </c>
      <c r="G239" t="s">
        <v>49</v>
      </c>
      <c r="H239">
        <f t="shared" si="3"/>
        <v>17600</v>
      </c>
      <c r="I239" t="str">
        <f>IFERROR(VLOOKUP(D239,'product master'!A:C,2,FALSE),"Not Found")</f>
        <v>Headphones</v>
      </c>
      <c r="J239" t="str">
        <f>IFERROR(VLOOKUP(D239,'product master'!A:C,3,FALSE),"Not Found")</f>
        <v>Accessories</v>
      </c>
    </row>
    <row r="240" spans="1:10" x14ac:dyDescent="0.3">
      <c r="A240" t="s">
        <v>273</v>
      </c>
      <c r="B240" s="1">
        <v>46118</v>
      </c>
      <c r="C240" t="s">
        <v>8</v>
      </c>
      <c r="D240" t="s">
        <v>36</v>
      </c>
      <c r="E240">
        <v>1</v>
      </c>
      <c r="F240">
        <v>12000</v>
      </c>
      <c r="G240" t="s">
        <v>10</v>
      </c>
      <c r="H240">
        <f t="shared" si="3"/>
        <v>12000</v>
      </c>
      <c r="I240" t="str">
        <f>IFERROR(VLOOKUP(D240,'product master'!A:C,2,FALSE),"Not Found")</f>
        <v>Monitor</v>
      </c>
      <c r="J240" t="str">
        <f>IFERROR(VLOOKUP(D240,'product master'!A:C,3,FALSE),"Not Found")</f>
        <v>Electronics</v>
      </c>
    </row>
    <row r="241" spans="1:10" x14ac:dyDescent="0.3">
      <c r="A241" t="s">
        <v>274</v>
      </c>
      <c r="B241" s="1">
        <v>46118</v>
      </c>
      <c r="C241" t="s">
        <v>12</v>
      </c>
      <c r="D241" t="s">
        <v>58</v>
      </c>
      <c r="E241">
        <v>9</v>
      </c>
      <c r="F241">
        <v>1200</v>
      </c>
      <c r="G241" t="s">
        <v>28</v>
      </c>
      <c r="H241">
        <f t="shared" si="3"/>
        <v>10800</v>
      </c>
      <c r="I241" t="str">
        <f>IFERROR(VLOOKUP(D241,'product master'!A:C,2,FALSE),"Not Found")</f>
        <v>Keyboard</v>
      </c>
      <c r="J241" t="str">
        <f>IFERROR(VLOOKUP(D241,'product master'!A:C,3,FALSE),"Not Found")</f>
        <v>Accessories</v>
      </c>
    </row>
    <row r="242" spans="1:10" x14ac:dyDescent="0.3">
      <c r="A242" t="s">
        <v>275</v>
      </c>
      <c r="B242" s="1">
        <v>46118</v>
      </c>
      <c r="C242" t="s">
        <v>25</v>
      </c>
      <c r="D242" t="s">
        <v>22</v>
      </c>
      <c r="E242">
        <v>23</v>
      </c>
      <c r="F242">
        <v>320</v>
      </c>
      <c r="G242" t="s">
        <v>47</v>
      </c>
      <c r="H242">
        <f t="shared" si="3"/>
        <v>7360</v>
      </c>
      <c r="I242" t="str">
        <f>IFERROR(VLOOKUP(D242,'product master'!A:C,2,FALSE),"Not Found")</f>
        <v>Notebook Pack</v>
      </c>
      <c r="J242" t="str">
        <f>IFERROR(VLOOKUP(D242,'product master'!A:C,3,FALSE),"Not Found")</f>
        <v>Stationery</v>
      </c>
    </row>
    <row r="243" spans="1:10" x14ac:dyDescent="0.3">
      <c r="A243" t="s">
        <v>276</v>
      </c>
      <c r="B243" s="1">
        <v>46118</v>
      </c>
      <c r="C243" t="s">
        <v>18</v>
      </c>
      <c r="D243" t="s">
        <v>22</v>
      </c>
      <c r="E243">
        <v>49</v>
      </c>
      <c r="F243">
        <v>320</v>
      </c>
      <c r="G243" t="s">
        <v>33</v>
      </c>
      <c r="H243">
        <f t="shared" si="3"/>
        <v>15680</v>
      </c>
      <c r="I243" t="str">
        <f>IFERROR(VLOOKUP(D243,'product master'!A:C,2,FALSE),"Not Found")</f>
        <v>Notebook Pack</v>
      </c>
      <c r="J243" t="str">
        <f>IFERROR(VLOOKUP(D243,'product master'!A:C,3,FALSE),"Not Found")</f>
        <v>Stationery</v>
      </c>
    </row>
    <row r="244" spans="1:10" x14ac:dyDescent="0.3">
      <c r="A244" t="s">
        <v>277</v>
      </c>
      <c r="B244" s="1">
        <v>46118</v>
      </c>
      <c r="C244" t="s">
        <v>25</v>
      </c>
      <c r="D244" t="s">
        <v>180</v>
      </c>
      <c r="E244">
        <v>3</v>
      </c>
      <c r="F244">
        <v>9500</v>
      </c>
      <c r="G244" t="s">
        <v>39</v>
      </c>
      <c r="H244">
        <f t="shared" si="3"/>
        <v>28500</v>
      </c>
      <c r="I244" t="str">
        <f>IFERROR(VLOOKUP(D244,'product master'!A:C,2,FALSE),"Not Found")</f>
        <v>Printer</v>
      </c>
      <c r="J244" t="str">
        <f>IFERROR(VLOOKUP(D244,'product master'!A:C,3,FALSE),"Not Found")</f>
        <v>Electronics</v>
      </c>
    </row>
    <row r="245" spans="1:10" x14ac:dyDescent="0.3">
      <c r="A245" t="s">
        <v>278</v>
      </c>
      <c r="B245" s="1">
        <v>46119</v>
      </c>
      <c r="C245" t="s">
        <v>12</v>
      </c>
      <c r="D245" t="s">
        <v>180</v>
      </c>
      <c r="E245">
        <v>3</v>
      </c>
      <c r="F245">
        <v>9500</v>
      </c>
      <c r="G245" t="s">
        <v>28</v>
      </c>
      <c r="H245">
        <f t="shared" si="3"/>
        <v>28500</v>
      </c>
      <c r="I245" t="str">
        <f>IFERROR(VLOOKUP(D245,'product master'!A:C,2,FALSE),"Not Found")</f>
        <v>Printer</v>
      </c>
      <c r="J245" t="str">
        <f>IFERROR(VLOOKUP(D245,'product master'!A:C,3,FALSE),"Not Found")</f>
        <v>Electronics</v>
      </c>
    </row>
    <row r="246" spans="1:10" x14ac:dyDescent="0.3">
      <c r="A246" t="s">
        <v>279</v>
      </c>
      <c r="B246" s="1">
        <v>46121</v>
      </c>
      <c r="C246" t="s">
        <v>8</v>
      </c>
      <c r="D246" t="s">
        <v>55</v>
      </c>
      <c r="E246">
        <v>29</v>
      </c>
      <c r="F246">
        <v>180</v>
      </c>
      <c r="G246" t="s">
        <v>10</v>
      </c>
      <c r="H246">
        <f t="shared" si="3"/>
        <v>5220</v>
      </c>
      <c r="I246" t="str">
        <f>IFERROR(VLOOKUP(D246,'product master'!A:C,2,FALSE),"Not Found")</f>
        <v>Not Found</v>
      </c>
      <c r="J246" t="str">
        <f>IFERROR(VLOOKUP(D246,'product master'!A:C,3,FALSE),"Not Found")</f>
        <v>Not Found</v>
      </c>
    </row>
    <row r="247" spans="1:10" x14ac:dyDescent="0.3">
      <c r="A247" t="s">
        <v>280</v>
      </c>
      <c r="B247" s="1">
        <v>46121</v>
      </c>
      <c r="C247" t="s">
        <v>8</v>
      </c>
      <c r="D247" t="s">
        <v>180</v>
      </c>
      <c r="E247">
        <v>2</v>
      </c>
      <c r="F247">
        <v>9500</v>
      </c>
      <c r="G247" t="s">
        <v>49</v>
      </c>
      <c r="H247">
        <f t="shared" si="3"/>
        <v>19000</v>
      </c>
      <c r="I247" t="str">
        <f>IFERROR(VLOOKUP(D247,'product master'!A:C,2,FALSE),"Not Found")</f>
        <v>Printer</v>
      </c>
      <c r="J247" t="str">
        <f>IFERROR(VLOOKUP(D247,'product master'!A:C,3,FALSE),"Not Found")</f>
        <v>Electronics</v>
      </c>
    </row>
    <row r="248" spans="1:10" x14ac:dyDescent="0.3">
      <c r="A248" t="s">
        <v>281</v>
      </c>
      <c r="B248" s="1">
        <v>46121</v>
      </c>
      <c r="C248" t="s">
        <v>12</v>
      </c>
      <c r="D248" t="s">
        <v>16</v>
      </c>
      <c r="E248">
        <v>4</v>
      </c>
      <c r="F248">
        <v>45000</v>
      </c>
      <c r="G248" t="s">
        <v>28</v>
      </c>
      <c r="H248">
        <f t="shared" si="3"/>
        <v>180000</v>
      </c>
      <c r="I248" t="str">
        <f>IFERROR(VLOOKUP(D248,'product master'!A:C,2,FALSE),"Not Found")</f>
        <v>Laptop</v>
      </c>
      <c r="J248" t="str">
        <f>IFERROR(VLOOKUP(D248,'product master'!A:C,3,FALSE),"Not Found")</f>
        <v>Electronics</v>
      </c>
    </row>
    <row r="249" spans="1:10" x14ac:dyDescent="0.3">
      <c r="A249" t="s">
        <v>282</v>
      </c>
      <c r="B249" s="1">
        <v>46122</v>
      </c>
      <c r="C249" t="s">
        <v>12</v>
      </c>
      <c r="D249" t="s">
        <v>16</v>
      </c>
      <c r="E249">
        <v>3</v>
      </c>
      <c r="F249">
        <v>45000</v>
      </c>
      <c r="G249" t="s">
        <v>28</v>
      </c>
      <c r="H249">
        <f t="shared" si="3"/>
        <v>135000</v>
      </c>
      <c r="I249" t="str">
        <f>IFERROR(VLOOKUP(D249,'product master'!A:C,2,FALSE),"Not Found")</f>
        <v>Laptop</v>
      </c>
      <c r="J249" t="str">
        <f>IFERROR(VLOOKUP(D249,'product master'!A:C,3,FALSE),"Not Found")</f>
        <v>Electronics</v>
      </c>
    </row>
    <row r="250" spans="1:10" x14ac:dyDescent="0.3">
      <c r="A250" t="s">
        <v>283</v>
      </c>
      <c r="B250" s="1">
        <v>46122</v>
      </c>
      <c r="C250" t="s">
        <v>8</v>
      </c>
      <c r="D250" t="s">
        <v>41</v>
      </c>
      <c r="E250">
        <v>5</v>
      </c>
      <c r="F250">
        <v>9800</v>
      </c>
      <c r="G250" t="s">
        <v>10</v>
      </c>
      <c r="H250">
        <f t="shared" si="3"/>
        <v>49000</v>
      </c>
      <c r="I250" t="str">
        <f>IFERROR(VLOOKUP(D250,'product master'!A:C,2,FALSE),"Not Found")</f>
        <v>Study Desk</v>
      </c>
      <c r="J250" t="str">
        <f>IFERROR(VLOOKUP(D250,'product master'!A:C,3,FALSE),"Not Found")</f>
        <v>Furniture</v>
      </c>
    </row>
    <row r="251" spans="1:10" x14ac:dyDescent="0.3">
      <c r="A251" t="s">
        <v>284</v>
      </c>
      <c r="B251" s="1">
        <v>46122</v>
      </c>
      <c r="C251" t="s">
        <v>18</v>
      </c>
      <c r="D251" t="s">
        <v>19</v>
      </c>
      <c r="E251">
        <v>16</v>
      </c>
      <c r="F251">
        <v>650</v>
      </c>
      <c r="G251" t="s">
        <v>30</v>
      </c>
      <c r="H251">
        <f t="shared" si="3"/>
        <v>10400</v>
      </c>
      <c r="I251" t="str">
        <f>IFERROR(VLOOKUP(D251,'product master'!A:C,2,FALSE),"Not Found")</f>
        <v>Wireless Mouse</v>
      </c>
      <c r="J251" t="str">
        <f>IFERROR(VLOOKUP(D251,'product master'!A:C,3,FALSE),"Not Found")</f>
        <v>Accessories</v>
      </c>
    </row>
    <row r="252" spans="1:10" x14ac:dyDescent="0.3">
      <c r="A252" t="s">
        <v>285</v>
      </c>
      <c r="B252" s="1">
        <v>46122</v>
      </c>
      <c r="C252" t="s">
        <v>8</v>
      </c>
      <c r="D252" t="s">
        <v>9</v>
      </c>
      <c r="E252">
        <v>5</v>
      </c>
      <c r="F252">
        <v>7500</v>
      </c>
      <c r="G252" t="s">
        <v>10</v>
      </c>
      <c r="H252">
        <f t="shared" si="3"/>
        <v>37500</v>
      </c>
      <c r="I252" t="str">
        <f>IFERROR(VLOOKUP(D252,'product master'!A:C,2,FALSE),"Not Found")</f>
        <v>Office Chair</v>
      </c>
      <c r="J252" t="str">
        <f>IFERROR(VLOOKUP(D252,'product master'!A:C,3,FALSE),"Not Found")</f>
        <v>Furniture</v>
      </c>
    </row>
    <row r="253" spans="1:10" x14ac:dyDescent="0.3">
      <c r="A253" t="s">
        <v>286</v>
      </c>
      <c r="B253" s="1">
        <v>46123</v>
      </c>
      <c r="C253" t="s">
        <v>18</v>
      </c>
      <c r="D253" t="s">
        <v>19</v>
      </c>
      <c r="E253">
        <v>7</v>
      </c>
      <c r="F253">
        <v>650</v>
      </c>
      <c r="G253" t="s">
        <v>20</v>
      </c>
      <c r="H253">
        <f t="shared" si="3"/>
        <v>4550</v>
      </c>
      <c r="I253" t="str">
        <f>IFERROR(VLOOKUP(D253,'product master'!A:C,2,FALSE),"Not Found")</f>
        <v>Wireless Mouse</v>
      </c>
      <c r="J253" t="str">
        <f>IFERROR(VLOOKUP(D253,'product master'!A:C,3,FALSE),"Not Found")</f>
        <v>Accessories</v>
      </c>
    </row>
    <row r="254" spans="1:10" x14ac:dyDescent="0.3">
      <c r="A254" t="s">
        <v>287</v>
      </c>
      <c r="B254" s="1">
        <v>46123</v>
      </c>
      <c r="C254" t="s">
        <v>8</v>
      </c>
      <c r="D254" t="s">
        <v>180</v>
      </c>
      <c r="E254">
        <v>2</v>
      </c>
      <c r="F254">
        <v>9500</v>
      </c>
      <c r="G254" t="s">
        <v>49</v>
      </c>
      <c r="H254">
        <f t="shared" si="3"/>
        <v>19000</v>
      </c>
      <c r="I254" t="str">
        <f>IFERROR(VLOOKUP(D254,'product master'!A:C,2,FALSE),"Not Found")</f>
        <v>Printer</v>
      </c>
      <c r="J254" t="str">
        <f>IFERROR(VLOOKUP(D254,'product master'!A:C,3,FALSE),"Not Found")</f>
        <v>Electronics</v>
      </c>
    </row>
    <row r="255" spans="1:10" x14ac:dyDescent="0.3">
      <c r="A255" t="s">
        <v>288</v>
      </c>
      <c r="B255" s="1">
        <v>46124</v>
      </c>
      <c r="C255" t="s">
        <v>12</v>
      </c>
      <c r="D255" t="s">
        <v>19</v>
      </c>
      <c r="E255">
        <v>12</v>
      </c>
      <c r="F255">
        <v>650</v>
      </c>
      <c r="G255" t="s">
        <v>543</v>
      </c>
      <c r="H255">
        <f t="shared" si="3"/>
        <v>7800</v>
      </c>
      <c r="I255" t="str">
        <f>IFERROR(VLOOKUP(D255,'product master'!A:C,2,FALSE),"Not Found")</f>
        <v>Wireless Mouse</v>
      </c>
      <c r="J255" t="str">
        <f>IFERROR(VLOOKUP(D255,'product master'!A:C,3,FALSE),"Not Found")</f>
        <v>Accessories</v>
      </c>
    </row>
    <row r="256" spans="1:10" x14ac:dyDescent="0.3">
      <c r="A256" t="s">
        <v>289</v>
      </c>
      <c r="B256" s="1">
        <v>46124</v>
      </c>
      <c r="C256" t="s">
        <v>8</v>
      </c>
      <c r="D256" t="s">
        <v>51</v>
      </c>
      <c r="E256">
        <v>10</v>
      </c>
      <c r="F256">
        <v>2200</v>
      </c>
      <c r="G256" t="s">
        <v>23</v>
      </c>
      <c r="H256">
        <f t="shared" si="3"/>
        <v>22000</v>
      </c>
      <c r="I256" t="str">
        <f>IFERROR(VLOOKUP(D256,'product master'!A:C,2,FALSE),"Not Found")</f>
        <v>Headphones</v>
      </c>
      <c r="J256" t="str">
        <f>IFERROR(VLOOKUP(D256,'product master'!A:C,3,FALSE),"Not Found")</f>
        <v>Accessories</v>
      </c>
    </row>
    <row r="257" spans="1:10" x14ac:dyDescent="0.3">
      <c r="A257" t="s">
        <v>290</v>
      </c>
      <c r="B257" s="1">
        <v>46124</v>
      </c>
      <c r="C257" t="s">
        <v>18</v>
      </c>
      <c r="D257" t="s">
        <v>13</v>
      </c>
      <c r="E257">
        <v>53</v>
      </c>
      <c r="F257">
        <v>180</v>
      </c>
      <c r="G257" t="s">
        <v>20</v>
      </c>
      <c r="H257">
        <f t="shared" si="3"/>
        <v>9540</v>
      </c>
      <c r="I257" t="str">
        <f>IFERROR(VLOOKUP(D257,'product master'!A:C,2,FALSE),"Not Found")</f>
        <v>Pen Box</v>
      </c>
      <c r="J257" t="str">
        <f>IFERROR(VLOOKUP(D257,'product master'!A:C,3,FALSE),"Not Found")</f>
        <v>Stationery</v>
      </c>
    </row>
    <row r="258" spans="1:10" x14ac:dyDescent="0.3">
      <c r="A258" t="s">
        <v>291</v>
      </c>
      <c r="B258" s="1">
        <v>46125</v>
      </c>
      <c r="C258" t="s">
        <v>25</v>
      </c>
      <c r="D258" t="s">
        <v>13</v>
      </c>
      <c r="E258">
        <v>44</v>
      </c>
      <c r="F258">
        <v>180</v>
      </c>
      <c r="G258" t="s">
        <v>47</v>
      </c>
      <c r="H258">
        <f t="shared" ref="H258:H321" si="4">E258*F258</f>
        <v>7920</v>
      </c>
      <c r="I258" t="str">
        <f>IFERROR(VLOOKUP(D258,'product master'!A:C,2,FALSE),"Not Found")</f>
        <v>Pen Box</v>
      </c>
      <c r="J258" t="str">
        <f>IFERROR(VLOOKUP(D258,'product master'!A:C,3,FALSE),"Not Found")</f>
        <v>Stationery</v>
      </c>
    </row>
    <row r="259" spans="1:10" x14ac:dyDescent="0.3">
      <c r="A259" t="s">
        <v>292</v>
      </c>
      <c r="B259" s="1">
        <v>46125</v>
      </c>
      <c r="C259" t="s">
        <v>12</v>
      </c>
      <c r="D259" t="s">
        <v>58</v>
      </c>
      <c r="E259">
        <v>20</v>
      </c>
      <c r="F259">
        <v>1200</v>
      </c>
      <c r="G259" t="s">
        <v>28</v>
      </c>
      <c r="H259">
        <f t="shared" si="4"/>
        <v>24000</v>
      </c>
      <c r="I259" t="str">
        <f>IFERROR(VLOOKUP(D259,'product master'!A:C,2,FALSE),"Not Found")</f>
        <v>Keyboard</v>
      </c>
      <c r="J259" t="str">
        <f>IFERROR(VLOOKUP(D259,'product master'!A:C,3,FALSE),"Not Found")</f>
        <v>Accessories</v>
      </c>
    </row>
    <row r="260" spans="1:10" x14ac:dyDescent="0.3">
      <c r="A260" t="s">
        <v>293</v>
      </c>
      <c r="B260" s="1">
        <v>46125</v>
      </c>
      <c r="C260" t="s">
        <v>12</v>
      </c>
      <c r="D260" t="s">
        <v>22</v>
      </c>
      <c r="E260">
        <v>46</v>
      </c>
      <c r="F260">
        <v>320</v>
      </c>
      <c r="G260" t="s">
        <v>43</v>
      </c>
      <c r="H260">
        <f t="shared" si="4"/>
        <v>14720</v>
      </c>
      <c r="I260" t="str">
        <f>IFERROR(VLOOKUP(D260,'product master'!A:C,2,FALSE),"Not Found")</f>
        <v>Notebook Pack</v>
      </c>
      <c r="J260" t="str">
        <f>IFERROR(VLOOKUP(D260,'product master'!A:C,3,FALSE),"Not Found")</f>
        <v>Stationery</v>
      </c>
    </row>
    <row r="261" spans="1:10" x14ac:dyDescent="0.3">
      <c r="A261" t="s">
        <v>294</v>
      </c>
      <c r="B261" s="1">
        <v>46125</v>
      </c>
      <c r="C261" t="s">
        <v>18</v>
      </c>
      <c r="D261" t="s">
        <v>19</v>
      </c>
      <c r="E261">
        <v>4</v>
      </c>
      <c r="F261">
        <v>650</v>
      </c>
      <c r="G261" t="s">
        <v>30</v>
      </c>
      <c r="H261">
        <f t="shared" si="4"/>
        <v>2600</v>
      </c>
      <c r="I261" t="str">
        <f>IFERROR(VLOOKUP(D261,'product master'!A:C,2,FALSE),"Not Found")</f>
        <v>Wireless Mouse</v>
      </c>
      <c r="J261" t="str">
        <f>IFERROR(VLOOKUP(D261,'product master'!A:C,3,FALSE),"Not Found")</f>
        <v>Accessories</v>
      </c>
    </row>
    <row r="262" spans="1:10" x14ac:dyDescent="0.3">
      <c r="A262" t="s">
        <v>295</v>
      </c>
      <c r="B262" s="1">
        <v>46126</v>
      </c>
      <c r="C262" t="s">
        <v>18</v>
      </c>
      <c r="D262" t="s">
        <v>19</v>
      </c>
      <c r="E262">
        <v>14</v>
      </c>
      <c r="F262">
        <v>650</v>
      </c>
      <c r="G262" t="s">
        <v>33</v>
      </c>
      <c r="H262">
        <f t="shared" si="4"/>
        <v>9100</v>
      </c>
      <c r="I262" t="str">
        <f>IFERROR(VLOOKUP(D262,'product master'!A:C,2,FALSE),"Not Found")</f>
        <v>Wireless Mouse</v>
      </c>
      <c r="J262" t="str">
        <f>IFERROR(VLOOKUP(D262,'product master'!A:C,3,FALSE),"Not Found")</f>
        <v>Accessories</v>
      </c>
    </row>
    <row r="263" spans="1:10" x14ac:dyDescent="0.3">
      <c r="A263" t="s">
        <v>296</v>
      </c>
      <c r="B263" s="1">
        <v>46126</v>
      </c>
      <c r="C263" t="s">
        <v>8</v>
      </c>
      <c r="D263" t="s">
        <v>180</v>
      </c>
      <c r="E263">
        <v>4</v>
      </c>
      <c r="F263">
        <v>9500</v>
      </c>
      <c r="G263" t="s">
        <v>23</v>
      </c>
      <c r="H263">
        <f t="shared" si="4"/>
        <v>38000</v>
      </c>
      <c r="I263" t="str">
        <f>IFERROR(VLOOKUP(D263,'product master'!A:C,2,FALSE),"Not Found")</f>
        <v>Printer</v>
      </c>
      <c r="J263" t="str">
        <f>IFERROR(VLOOKUP(D263,'product master'!A:C,3,FALSE),"Not Found")</f>
        <v>Electronics</v>
      </c>
    </row>
    <row r="264" spans="1:10" x14ac:dyDescent="0.3">
      <c r="A264" t="s">
        <v>297</v>
      </c>
      <c r="B264" s="1">
        <v>46127</v>
      </c>
      <c r="C264" t="s">
        <v>12</v>
      </c>
      <c r="D264" t="s">
        <v>13</v>
      </c>
      <c r="E264">
        <v>38</v>
      </c>
      <c r="F264">
        <v>180</v>
      </c>
      <c r="G264" t="s">
        <v>43</v>
      </c>
      <c r="H264">
        <f t="shared" si="4"/>
        <v>6840</v>
      </c>
      <c r="I264" t="str">
        <f>IFERROR(VLOOKUP(D264,'product master'!A:C,2,FALSE),"Not Found")</f>
        <v>Pen Box</v>
      </c>
      <c r="J264" t="str">
        <f>IFERROR(VLOOKUP(D264,'product master'!A:C,3,FALSE),"Not Found")</f>
        <v>Stationery</v>
      </c>
    </row>
    <row r="265" spans="1:10" x14ac:dyDescent="0.3">
      <c r="A265" t="s">
        <v>298</v>
      </c>
      <c r="B265" s="1">
        <v>46127</v>
      </c>
      <c r="C265" t="s">
        <v>25</v>
      </c>
      <c r="D265" t="s">
        <v>9</v>
      </c>
      <c r="E265">
        <v>3</v>
      </c>
      <c r="F265">
        <v>7500</v>
      </c>
      <c r="G265" t="s">
        <v>47</v>
      </c>
      <c r="H265">
        <f t="shared" si="4"/>
        <v>22500</v>
      </c>
      <c r="I265" t="str">
        <f>IFERROR(VLOOKUP(D265,'product master'!A:C,2,FALSE),"Not Found")</f>
        <v>Office Chair</v>
      </c>
      <c r="J265" t="str">
        <f>IFERROR(VLOOKUP(D265,'product master'!A:C,3,FALSE),"Not Found")</f>
        <v>Furniture</v>
      </c>
    </row>
    <row r="266" spans="1:10" x14ac:dyDescent="0.3">
      <c r="A266" t="s">
        <v>299</v>
      </c>
      <c r="B266" s="1">
        <v>46127</v>
      </c>
      <c r="C266" t="s">
        <v>12</v>
      </c>
      <c r="D266" t="s">
        <v>9</v>
      </c>
      <c r="E266">
        <v>1</v>
      </c>
      <c r="F266">
        <v>7500</v>
      </c>
      <c r="G266" t="s">
        <v>14</v>
      </c>
      <c r="H266">
        <f t="shared" si="4"/>
        <v>7500</v>
      </c>
      <c r="I266" t="str">
        <f>IFERROR(VLOOKUP(D266,'product master'!A:C,2,FALSE),"Not Found")</f>
        <v>Office Chair</v>
      </c>
      <c r="J266" t="str">
        <f>IFERROR(VLOOKUP(D266,'product master'!A:C,3,FALSE),"Not Found")</f>
        <v>Furniture</v>
      </c>
    </row>
    <row r="267" spans="1:10" x14ac:dyDescent="0.3">
      <c r="A267" t="s">
        <v>300</v>
      </c>
      <c r="B267" s="1">
        <v>46127</v>
      </c>
      <c r="C267" t="s">
        <v>12</v>
      </c>
      <c r="D267" t="s">
        <v>41</v>
      </c>
      <c r="E267">
        <v>3</v>
      </c>
      <c r="F267">
        <v>9800</v>
      </c>
      <c r="G267" t="s">
        <v>43</v>
      </c>
      <c r="H267">
        <f t="shared" si="4"/>
        <v>29400</v>
      </c>
      <c r="I267" t="str">
        <f>IFERROR(VLOOKUP(D267,'product master'!A:C,2,FALSE),"Not Found")</f>
        <v>Study Desk</v>
      </c>
      <c r="J267" t="str">
        <f>IFERROR(VLOOKUP(D267,'product master'!A:C,3,FALSE),"Not Found")</f>
        <v>Furniture</v>
      </c>
    </row>
    <row r="268" spans="1:10" x14ac:dyDescent="0.3">
      <c r="A268" t="s">
        <v>301</v>
      </c>
      <c r="B268" s="1">
        <v>46128</v>
      </c>
      <c r="C268" t="s">
        <v>8</v>
      </c>
      <c r="D268" t="s">
        <v>9</v>
      </c>
      <c r="E268">
        <v>4</v>
      </c>
      <c r="F268">
        <v>7500</v>
      </c>
      <c r="G268" t="s">
        <v>49</v>
      </c>
      <c r="H268">
        <f t="shared" si="4"/>
        <v>30000</v>
      </c>
      <c r="I268" t="str">
        <f>IFERROR(VLOOKUP(D268,'product master'!A:C,2,FALSE),"Not Found")</f>
        <v>Office Chair</v>
      </c>
      <c r="J268" t="str">
        <f>IFERROR(VLOOKUP(D268,'product master'!A:C,3,FALSE),"Not Found")</f>
        <v>Furniture</v>
      </c>
    </row>
    <row r="269" spans="1:10" x14ac:dyDescent="0.3">
      <c r="A269" t="s">
        <v>302</v>
      </c>
      <c r="B269" s="1">
        <v>46129</v>
      </c>
      <c r="C269" t="s">
        <v>18</v>
      </c>
      <c r="D269" t="s">
        <v>16</v>
      </c>
      <c r="E269">
        <v>3</v>
      </c>
      <c r="F269">
        <v>45000</v>
      </c>
      <c r="G269" t="s">
        <v>33</v>
      </c>
      <c r="H269">
        <f t="shared" si="4"/>
        <v>135000</v>
      </c>
      <c r="I269" t="str">
        <f>IFERROR(VLOOKUP(D269,'product master'!A:C,2,FALSE),"Not Found")</f>
        <v>Laptop</v>
      </c>
      <c r="J269" t="str">
        <f>IFERROR(VLOOKUP(D269,'product master'!A:C,3,FALSE),"Not Found")</f>
        <v>Electronics</v>
      </c>
    </row>
    <row r="270" spans="1:10" x14ac:dyDescent="0.3">
      <c r="A270" t="s">
        <v>303</v>
      </c>
      <c r="B270" s="1">
        <v>46129</v>
      </c>
      <c r="C270" t="s">
        <v>25</v>
      </c>
      <c r="D270" t="s">
        <v>51</v>
      </c>
      <c r="E270">
        <v>13</v>
      </c>
      <c r="F270">
        <v>2200</v>
      </c>
      <c r="G270" t="s">
        <v>47</v>
      </c>
      <c r="H270">
        <f t="shared" si="4"/>
        <v>28600</v>
      </c>
      <c r="I270" t="str">
        <f>IFERROR(VLOOKUP(D270,'product master'!A:C,2,FALSE),"Not Found")</f>
        <v>Headphones</v>
      </c>
      <c r="J270" t="str">
        <f>IFERROR(VLOOKUP(D270,'product master'!A:C,3,FALSE),"Not Found")</f>
        <v>Accessories</v>
      </c>
    </row>
    <row r="271" spans="1:10" x14ac:dyDescent="0.3">
      <c r="A271" t="s">
        <v>304</v>
      </c>
      <c r="B271" s="1">
        <v>46129</v>
      </c>
      <c r="C271" t="s">
        <v>25</v>
      </c>
      <c r="D271" t="s">
        <v>55</v>
      </c>
      <c r="E271">
        <v>69</v>
      </c>
      <c r="F271">
        <v>320</v>
      </c>
      <c r="G271" t="s">
        <v>26</v>
      </c>
      <c r="H271">
        <f t="shared" si="4"/>
        <v>22080</v>
      </c>
      <c r="I271" t="str">
        <f>IFERROR(VLOOKUP(D271,'product master'!A:C,2,FALSE),"Not Found")</f>
        <v>Not Found</v>
      </c>
      <c r="J271" t="str">
        <f>IFERROR(VLOOKUP(D271,'product master'!A:C,3,FALSE),"Not Found")</f>
        <v>Not Found</v>
      </c>
    </row>
    <row r="272" spans="1:10" x14ac:dyDescent="0.3">
      <c r="A272" t="s">
        <v>305</v>
      </c>
      <c r="B272" s="1">
        <v>46130</v>
      </c>
      <c r="C272" t="s">
        <v>25</v>
      </c>
      <c r="D272" t="s">
        <v>41</v>
      </c>
      <c r="E272">
        <v>5</v>
      </c>
      <c r="F272">
        <v>9800</v>
      </c>
      <c r="G272" t="s">
        <v>39</v>
      </c>
      <c r="H272">
        <f t="shared" si="4"/>
        <v>49000</v>
      </c>
      <c r="I272" t="str">
        <f>IFERROR(VLOOKUP(D272,'product master'!A:C,2,FALSE),"Not Found")</f>
        <v>Study Desk</v>
      </c>
      <c r="J272" t="str">
        <f>IFERROR(VLOOKUP(D272,'product master'!A:C,3,FALSE),"Not Found")</f>
        <v>Furniture</v>
      </c>
    </row>
    <row r="273" spans="1:10" x14ac:dyDescent="0.3">
      <c r="A273" t="s">
        <v>306</v>
      </c>
      <c r="B273" s="1">
        <v>46130</v>
      </c>
      <c r="C273" t="s">
        <v>25</v>
      </c>
      <c r="D273" t="s">
        <v>41</v>
      </c>
      <c r="E273">
        <v>1</v>
      </c>
      <c r="F273">
        <v>9800</v>
      </c>
      <c r="G273" t="s">
        <v>39</v>
      </c>
      <c r="H273">
        <f t="shared" si="4"/>
        <v>9800</v>
      </c>
      <c r="I273" t="str">
        <f>IFERROR(VLOOKUP(D273,'product master'!A:C,2,FALSE),"Not Found")</f>
        <v>Study Desk</v>
      </c>
      <c r="J273" t="str">
        <f>IFERROR(VLOOKUP(D273,'product master'!A:C,3,FALSE),"Not Found")</f>
        <v>Furniture</v>
      </c>
    </row>
    <row r="274" spans="1:10" x14ac:dyDescent="0.3">
      <c r="A274" t="s">
        <v>307</v>
      </c>
      <c r="B274" s="1">
        <v>46131</v>
      </c>
      <c r="C274" t="s">
        <v>12</v>
      </c>
      <c r="D274" t="s">
        <v>13</v>
      </c>
      <c r="E274">
        <v>35</v>
      </c>
      <c r="F274">
        <v>180</v>
      </c>
      <c r="G274" t="s">
        <v>28</v>
      </c>
      <c r="H274">
        <f t="shared" si="4"/>
        <v>6300</v>
      </c>
      <c r="I274" t="str">
        <f>IFERROR(VLOOKUP(D274,'product master'!A:C,2,FALSE),"Not Found")</f>
        <v>Pen Box</v>
      </c>
      <c r="J274" t="str">
        <f>IFERROR(VLOOKUP(D274,'product master'!A:C,3,FALSE),"Not Found")</f>
        <v>Stationery</v>
      </c>
    </row>
    <row r="275" spans="1:10" x14ac:dyDescent="0.3">
      <c r="A275" t="s">
        <v>308</v>
      </c>
      <c r="B275" s="1">
        <v>46131</v>
      </c>
      <c r="C275" t="s">
        <v>18</v>
      </c>
      <c r="D275" t="s">
        <v>19</v>
      </c>
      <c r="E275">
        <v>15</v>
      </c>
      <c r="F275">
        <v>650</v>
      </c>
      <c r="G275" t="s">
        <v>30</v>
      </c>
      <c r="H275">
        <f t="shared" si="4"/>
        <v>9750</v>
      </c>
      <c r="I275" t="str">
        <f>IFERROR(VLOOKUP(D275,'product master'!A:C,2,FALSE),"Not Found")</f>
        <v>Wireless Mouse</v>
      </c>
      <c r="J275" t="str">
        <f>IFERROR(VLOOKUP(D275,'product master'!A:C,3,FALSE),"Not Found")</f>
        <v>Accessories</v>
      </c>
    </row>
    <row r="276" spans="1:10" x14ac:dyDescent="0.3">
      <c r="A276" t="s">
        <v>309</v>
      </c>
      <c r="B276" s="1">
        <v>46131</v>
      </c>
      <c r="C276" t="s">
        <v>25</v>
      </c>
      <c r="D276" t="s">
        <v>22</v>
      </c>
      <c r="E276">
        <v>28</v>
      </c>
      <c r="F276">
        <v>320</v>
      </c>
      <c r="G276" t="s">
        <v>26</v>
      </c>
      <c r="H276">
        <f t="shared" si="4"/>
        <v>8960</v>
      </c>
      <c r="I276" t="str">
        <f>IFERROR(VLOOKUP(D276,'product master'!A:C,2,FALSE),"Not Found")</f>
        <v>Notebook Pack</v>
      </c>
      <c r="J276" t="str">
        <f>IFERROR(VLOOKUP(D276,'product master'!A:C,3,FALSE),"Not Found")</f>
        <v>Stationery</v>
      </c>
    </row>
    <row r="277" spans="1:10" x14ac:dyDescent="0.3">
      <c r="A277" t="s">
        <v>310</v>
      </c>
      <c r="B277" s="1">
        <v>46131</v>
      </c>
      <c r="C277" t="s">
        <v>8</v>
      </c>
      <c r="D277" t="s">
        <v>36</v>
      </c>
      <c r="E277">
        <v>1</v>
      </c>
      <c r="F277">
        <v>12000</v>
      </c>
      <c r="G277" t="s">
        <v>23</v>
      </c>
      <c r="H277">
        <f t="shared" si="4"/>
        <v>12000</v>
      </c>
      <c r="I277" t="str">
        <f>IFERROR(VLOOKUP(D277,'product master'!A:C,2,FALSE),"Not Found")</f>
        <v>Monitor</v>
      </c>
      <c r="J277" t="str">
        <f>IFERROR(VLOOKUP(D277,'product master'!A:C,3,FALSE),"Not Found")</f>
        <v>Electronics</v>
      </c>
    </row>
    <row r="278" spans="1:10" x14ac:dyDescent="0.3">
      <c r="A278" t="s">
        <v>311</v>
      </c>
      <c r="B278" s="1">
        <v>46132</v>
      </c>
      <c r="C278" t="s">
        <v>18</v>
      </c>
      <c r="D278" t="s">
        <v>13</v>
      </c>
      <c r="E278">
        <v>23</v>
      </c>
      <c r="F278">
        <v>180</v>
      </c>
      <c r="G278" t="s">
        <v>33</v>
      </c>
      <c r="H278">
        <f t="shared" si="4"/>
        <v>4140</v>
      </c>
      <c r="I278" t="str">
        <f>IFERROR(VLOOKUP(D278,'product master'!A:C,2,FALSE),"Not Found")</f>
        <v>Pen Box</v>
      </c>
      <c r="J278" t="str">
        <f>IFERROR(VLOOKUP(D278,'product master'!A:C,3,FALSE),"Not Found")</f>
        <v>Stationery</v>
      </c>
    </row>
    <row r="279" spans="1:10" x14ac:dyDescent="0.3">
      <c r="A279" t="s">
        <v>312</v>
      </c>
      <c r="B279" s="1">
        <v>46132</v>
      </c>
      <c r="C279" t="s">
        <v>18</v>
      </c>
      <c r="D279" t="s">
        <v>9</v>
      </c>
      <c r="E279">
        <v>5</v>
      </c>
      <c r="F279">
        <v>7500</v>
      </c>
      <c r="G279" t="s">
        <v>33</v>
      </c>
      <c r="H279">
        <f t="shared" si="4"/>
        <v>37500</v>
      </c>
      <c r="I279" t="str">
        <f>IFERROR(VLOOKUP(D279,'product master'!A:C,2,FALSE),"Not Found")</f>
        <v>Office Chair</v>
      </c>
      <c r="J279" t="str">
        <f>IFERROR(VLOOKUP(D279,'product master'!A:C,3,FALSE),"Not Found")</f>
        <v>Furniture</v>
      </c>
    </row>
    <row r="280" spans="1:10" x14ac:dyDescent="0.3">
      <c r="A280" t="s">
        <v>313</v>
      </c>
      <c r="B280" s="1">
        <v>46132</v>
      </c>
      <c r="C280" t="s">
        <v>12</v>
      </c>
      <c r="D280" t="s">
        <v>13</v>
      </c>
      <c r="E280">
        <v>67</v>
      </c>
      <c r="F280">
        <v>180</v>
      </c>
      <c r="G280" t="s">
        <v>14</v>
      </c>
      <c r="H280">
        <f t="shared" si="4"/>
        <v>12060</v>
      </c>
      <c r="I280" t="str">
        <f>IFERROR(VLOOKUP(D280,'product master'!A:C,2,FALSE),"Not Found")</f>
        <v>Pen Box</v>
      </c>
      <c r="J280" t="str">
        <f>IFERROR(VLOOKUP(D280,'product master'!A:C,3,FALSE),"Not Found")</f>
        <v>Stationery</v>
      </c>
    </row>
    <row r="281" spans="1:10" x14ac:dyDescent="0.3">
      <c r="A281" t="s">
        <v>314</v>
      </c>
      <c r="B281" s="1">
        <v>46132</v>
      </c>
      <c r="C281" t="s">
        <v>12</v>
      </c>
      <c r="D281" t="s">
        <v>22</v>
      </c>
      <c r="E281">
        <v>57</v>
      </c>
      <c r="F281">
        <v>320</v>
      </c>
      <c r="G281" t="s">
        <v>14</v>
      </c>
      <c r="H281">
        <f t="shared" si="4"/>
        <v>18240</v>
      </c>
      <c r="I281" t="str">
        <f>IFERROR(VLOOKUP(D281,'product master'!A:C,2,FALSE),"Not Found")</f>
        <v>Notebook Pack</v>
      </c>
      <c r="J281" t="str">
        <f>IFERROR(VLOOKUP(D281,'product master'!A:C,3,FALSE),"Not Found")</f>
        <v>Stationery</v>
      </c>
    </row>
    <row r="282" spans="1:10" x14ac:dyDescent="0.3">
      <c r="A282" t="s">
        <v>315</v>
      </c>
      <c r="B282" s="1">
        <v>46133</v>
      </c>
      <c r="C282" t="s">
        <v>12</v>
      </c>
      <c r="D282" t="s">
        <v>51</v>
      </c>
      <c r="E282">
        <v>7</v>
      </c>
      <c r="F282" s="2">
        <v>2200</v>
      </c>
      <c r="G282" t="s">
        <v>43</v>
      </c>
      <c r="H282">
        <f t="shared" si="4"/>
        <v>15400</v>
      </c>
      <c r="I282" t="str">
        <f>IFERROR(VLOOKUP(D282,'product master'!A:C,2,FALSE),"Not Found")</f>
        <v>Headphones</v>
      </c>
      <c r="J282" t="str">
        <f>IFERROR(VLOOKUP(D282,'product master'!A:C,3,FALSE),"Not Found")</f>
        <v>Accessories</v>
      </c>
    </row>
    <row r="283" spans="1:10" x14ac:dyDescent="0.3">
      <c r="A283" t="s">
        <v>316</v>
      </c>
      <c r="B283" s="1">
        <v>46134</v>
      </c>
      <c r="C283" t="s">
        <v>18</v>
      </c>
      <c r="D283" t="s">
        <v>22</v>
      </c>
      <c r="E283">
        <v>51</v>
      </c>
      <c r="F283">
        <v>320</v>
      </c>
      <c r="G283" t="s">
        <v>30</v>
      </c>
      <c r="H283">
        <f t="shared" si="4"/>
        <v>16320</v>
      </c>
      <c r="I283" t="str">
        <f>IFERROR(VLOOKUP(D283,'product master'!A:C,2,FALSE),"Not Found")</f>
        <v>Notebook Pack</v>
      </c>
      <c r="J283" t="str">
        <f>IFERROR(VLOOKUP(D283,'product master'!A:C,3,FALSE),"Not Found")</f>
        <v>Stationery</v>
      </c>
    </row>
    <row r="284" spans="1:10" x14ac:dyDescent="0.3">
      <c r="A284" t="s">
        <v>317</v>
      </c>
      <c r="B284" s="1">
        <v>46134</v>
      </c>
      <c r="C284" t="s">
        <v>25</v>
      </c>
      <c r="D284" t="s">
        <v>19</v>
      </c>
      <c r="E284">
        <v>14</v>
      </c>
      <c r="F284">
        <v>650</v>
      </c>
      <c r="G284" t="s">
        <v>39</v>
      </c>
      <c r="H284">
        <f t="shared" si="4"/>
        <v>9100</v>
      </c>
      <c r="I284" t="str">
        <f>IFERROR(VLOOKUP(D284,'product master'!A:C,2,FALSE),"Not Found")</f>
        <v>Wireless Mouse</v>
      </c>
      <c r="J284" t="str">
        <f>IFERROR(VLOOKUP(D284,'product master'!A:C,3,FALSE),"Not Found")</f>
        <v>Accessories</v>
      </c>
    </row>
    <row r="285" spans="1:10" x14ac:dyDescent="0.3">
      <c r="A285" t="s">
        <v>318</v>
      </c>
      <c r="B285" s="1">
        <v>46134</v>
      </c>
      <c r="C285" t="s">
        <v>12</v>
      </c>
      <c r="D285" t="s">
        <v>58</v>
      </c>
      <c r="E285">
        <v>10</v>
      </c>
      <c r="F285">
        <v>1200</v>
      </c>
      <c r="G285" t="s">
        <v>43</v>
      </c>
      <c r="H285">
        <f t="shared" si="4"/>
        <v>12000</v>
      </c>
      <c r="I285" t="str">
        <f>IFERROR(VLOOKUP(D285,'product master'!A:C,2,FALSE),"Not Found")</f>
        <v>Keyboard</v>
      </c>
      <c r="J285" t="str">
        <f>IFERROR(VLOOKUP(D285,'product master'!A:C,3,FALSE),"Not Found")</f>
        <v>Accessories</v>
      </c>
    </row>
    <row r="286" spans="1:10" x14ac:dyDescent="0.3">
      <c r="A286" t="s">
        <v>319</v>
      </c>
      <c r="B286" s="1">
        <v>46135</v>
      </c>
      <c r="C286" t="s">
        <v>25</v>
      </c>
      <c r="D286" t="s">
        <v>51</v>
      </c>
      <c r="E286">
        <v>19</v>
      </c>
      <c r="F286">
        <v>2200</v>
      </c>
      <c r="G286" t="s">
        <v>47</v>
      </c>
      <c r="H286">
        <f t="shared" si="4"/>
        <v>41800</v>
      </c>
      <c r="I286" t="str">
        <f>IFERROR(VLOOKUP(D286,'product master'!A:C,2,FALSE),"Not Found")</f>
        <v>Headphones</v>
      </c>
      <c r="J286" t="str">
        <f>IFERROR(VLOOKUP(D286,'product master'!A:C,3,FALSE),"Not Found")</f>
        <v>Accessories</v>
      </c>
    </row>
    <row r="287" spans="1:10" x14ac:dyDescent="0.3">
      <c r="A287" t="s">
        <v>320</v>
      </c>
      <c r="B287" s="1">
        <v>46135</v>
      </c>
      <c r="C287" t="s">
        <v>18</v>
      </c>
      <c r="D287" t="s">
        <v>36</v>
      </c>
      <c r="E287">
        <v>4</v>
      </c>
      <c r="F287">
        <v>12000</v>
      </c>
      <c r="G287" t="s">
        <v>30</v>
      </c>
      <c r="H287">
        <f t="shared" si="4"/>
        <v>48000</v>
      </c>
      <c r="I287" t="str">
        <f>IFERROR(VLOOKUP(D287,'product master'!A:C,2,FALSE),"Not Found")</f>
        <v>Monitor</v>
      </c>
      <c r="J287" t="str">
        <f>IFERROR(VLOOKUP(D287,'product master'!A:C,3,FALSE),"Not Found")</f>
        <v>Electronics</v>
      </c>
    </row>
    <row r="288" spans="1:10" x14ac:dyDescent="0.3">
      <c r="A288" t="s">
        <v>321</v>
      </c>
      <c r="B288" s="1">
        <v>46135</v>
      </c>
      <c r="C288" t="s">
        <v>8</v>
      </c>
      <c r="D288" t="s">
        <v>58</v>
      </c>
      <c r="E288">
        <v>12</v>
      </c>
      <c r="F288">
        <v>1200</v>
      </c>
      <c r="G288" t="s">
        <v>23</v>
      </c>
      <c r="H288">
        <f t="shared" si="4"/>
        <v>14400</v>
      </c>
      <c r="I288" t="str">
        <f>IFERROR(VLOOKUP(D288,'product master'!A:C,2,FALSE),"Not Found")</f>
        <v>Keyboard</v>
      </c>
      <c r="J288" t="str">
        <f>IFERROR(VLOOKUP(D288,'product master'!A:C,3,FALSE),"Not Found")</f>
        <v>Accessories</v>
      </c>
    </row>
    <row r="289" spans="1:10" x14ac:dyDescent="0.3">
      <c r="A289" t="s">
        <v>322</v>
      </c>
      <c r="B289" s="1">
        <v>46135</v>
      </c>
      <c r="C289" t="s">
        <v>25</v>
      </c>
      <c r="D289" t="s">
        <v>13</v>
      </c>
      <c r="E289">
        <v>77</v>
      </c>
      <c r="F289">
        <v>180</v>
      </c>
      <c r="G289" t="s">
        <v>47</v>
      </c>
      <c r="H289">
        <f t="shared" si="4"/>
        <v>13860</v>
      </c>
      <c r="I289" t="str">
        <f>IFERROR(VLOOKUP(D289,'product master'!A:C,2,FALSE),"Not Found")</f>
        <v>Pen Box</v>
      </c>
      <c r="J289" t="str">
        <f>IFERROR(VLOOKUP(D289,'product master'!A:C,3,FALSE),"Not Found")</f>
        <v>Stationery</v>
      </c>
    </row>
    <row r="290" spans="1:10" x14ac:dyDescent="0.3">
      <c r="A290" t="s">
        <v>323</v>
      </c>
      <c r="B290" s="1">
        <v>46135</v>
      </c>
      <c r="C290" t="s">
        <v>25</v>
      </c>
      <c r="D290" t="s">
        <v>41</v>
      </c>
      <c r="E290">
        <v>3</v>
      </c>
      <c r="F290">
        <v>9800</v>
      </c>
      <c r="G290" t="s">
        <v>39</v>
      </c>
      <c r="H290">
        <f t="shared" si="4"/>
        <v>29400</v>
      </c>
      <c r="I290" t="str">
        <f>IFERROR(VLOOKUP(D290,'product master'!A:C,2,FALSE),"Not Found")</f>
        <v>Study Desk</v>
      </c>
      <c r="J290" t="str">
        <f>IFERROR(VLOOKUP(D290,'product master'!A:C,3,FALSE),"Not Found")</f>
        <v>Furniture</v>
      </c>
    </row>
    <row r="291" spans="1:10" x14ac:dyDescent="0.3">
      <c r="A291" t="s">
        <v>324</v>
      </c>
      <c r="B291" s="1">
        <v>46136</v>
      </c>
      <c r="C291" t="s">
        <v>18</v>
      </c>
      <c r="D291" t="s">
        <v>36</v>
      </c>
      <c r="E291">
        <v>3</v>
      </c>
      <c r="F291">
        <v>12000</v>
      </c>
      <c r="G291" t="s">
        <v>20</v>
      </c>
      <c r="H291">
        <f t="shared" si="4"/>
        <v>36000</v>
      </c>
      <c r="I291" t="str">
        <f>IFERROR(VLOOKUP(D291,'product master'!A:C,2,FALSE),"Not Found")</f>
        <v>Monitor</v>
      </c>
      <c r="J291" t="str">
        <f>IFERROR(VLOOKUP(D291,'product master'!A:C,3,FALSE),"Not Found")</f>
        <v>Electronics</v>
      </c>
    </row>
    <row r="292" spans="1:10" x14ac:dyDescent="0.3">
      <c r="A292" t="s">
        <v>325</v>
      </c>
      <c r="B292" s="1">
        <v>46136</v>
      </c>
      <c r="C292" t="s">
        <v>18</v>
      </c>
      <c r="D292" t="s">
        <v>51</v>
      </c>
      <c r="E292">
        <v>17</v>
      </c>
      <c r="F292">
        <v>2200</v>
      </c>
      <c r="G292" t="s">
        <v>33</v>
      </c>
      <c r="H292">
        <f t="shared" si="4"/>
        <v>37400</v>
      </c>
      <c r="I292" t="str">
        <f>IFERROR(VLOOKUP(D292,'product master'!A:C,2,FALSE),"Not Found")</f>
        <v>Headphones</v>
      </c>
      <c r="J292" t="str">
        <f>IFERROR(VLOOKUP(D292,'product master'!A:C,3,FALSE),"Not Found")</f>
        <v>Accessories</v>
      </c>
    </row>
    <row r="293" spans="1:10" x14ac:dyDescent="0.3">
      <c r="A293" t="s">
        <v>326</v>
      </c>
      <c r="B293" s="1">
        <v>46137</v>
      </c>
      <c r="C293" t="s">
        <v>8</v>
      </c>
      <c r="D293" t="s">
        <v>22</v>
      </c>
      <c r="E293">
        <v>50</v>
      </c>
      <c r="F293">
        <v>320</v>
      </c>
      <c r="G293" t="s">
        <v>10</v>
      </c>
      <c r="H293">
        <f t="shared" si="4"/>
        <v>16000</v>
      </c>
      <c r="I293" t="str">
        <f>IFERROR(VLOOKUP(D293,'product master'!A:C,2,FALSE),"Not Found")</f>
        <v>Notebook Pack</v>
      </c>
      <c r="J293" t="str">
        <f>IFERROR(VLOOKUP(D293,'product master'!A:C,3,FALSE),"Not Found")</f>
        <v>Stationery</v>
      </c>
    </row>
    <row r="294" spans="1:10" x14ac:dyDescent="0.3">
      <c r="A294" t="s">
        <v>327</v>
      </c>
      <c r="B294" s="1">
        <v>46137</v>
      </c>
      <c r="C294" t="s">
        <v>12</v>
      </c>
      <c r="D294" t="s">
        <v>58</v>
      </c>
      <c r="E294">
        <v>6</v>
      </c>
      <c r="F294">
        <v>1200</v>
      </c>
      <c r="G294" t="s">
        <v>14</v>
      </c>
      <c r="H294">
        <f t="shared" si="4"/>
        <v>7200</v>
      </c>
      <c r="I294" t="str">
        <f>IFERROR(VLOOKUP(D294,'product master'!A:C,2,FALSE),"Not Found")</f>
        <v>Keyboard</v>
      </c>
      <c r="J294" t="str">
        <f>IFERROR(VLOOKUP(D294,'product master'!A:C,3,FALSE),"Not Found")</f>
        <v>Accessories</v>
      </c>
    </row>
    <row r="295" spans="1:10" x14ac:dyDescent="0.3">
      <c r="A295" t="s">
        <v>328</v>
      </c>
      <c r="B295" s="1">
        <v>46137</v>
      </c>
      <c r="C295" t="s">
        <v>12</v>
      </c>
      <c r="D295" t="s">
        <v>9</v>
      </c>
      <c r="E295">
        <v>3</v>
      </c>
      <c r="F295">
        <v>7500</v>
      </c>
      <c r="G295" t="s">
        <v>14</v>
      </c>
      <c r="H295">
        <f t="shared" si="4"/>
        <v>22500</v>
      </c>
      <c r="I295" t="str">
        <f>IFERROR(VLOOKUP(D295,'product master'!A:C,2,FALSE),"Not Found")</f>
        <v>Office Chair</v>
      </c>
      <c r="J295" t="str">
        <f>IFERROR(VLOOKUP(D295,'product master'!A:C,3,FALSE),"Not Found")</f>
        <v>Furniture</v>
      </c>
    </row>
    <row r="296" spans="1:10" x14ac:dyDescent="0.3">
      <c r="A296" t="s">
        <v>329</v>
      </c>
      <c r="B296" s="1">
        <v>46137</v>
      </c>
      <c r="C296" t="s">
        <v>18</v>
      </c>
      <c r="D296" t="s">
        <v>58</v>
      </c>
      <c r="E296">
        <v>11</v>
      </c>
      <c r="F296">
        <v>1200</v>
      </c>
      <c r="G296" t="s">
        <v>20</v>
      </c>
      <c r="H296">
        <f t="shared" si="4"/>
        <v>13200</v>
      </c>
      <c r="I296" t="str">
        <f>IFERROR(VLOOKUP(D296,'product master'!A:C,2,FALSE),"Not Found")</f>
        <v>Keyboard</v>
      </c>
      <c r="J296" t="str">
        <f>IFERROR(VLOOKUP(D296,'product master'!A:C,3,FALSE),"Not Found")</f>
        <v>Accessories</v>
      </c>
    </row>
    <row r="297" spans="1:10" x14ac:dyDescent="0.3">
      <c r="A297" t="s">
        <v>330</v>
      </c>
      <c r="B297" s="1">
        <v>46139</v>
      </c>
      <c r="C297" t="s">
        <v>12</v>
      </c>
      <c r="D297" t="s">
        <v>58</v>
      </c>
      <c r="E297">
        <v>20</v>
      </c>
      <c r="F297">
        <v>1200</v>
      </c>
      <c r="G297" t="s">
        <v>43</v>
      </c>
      <c r="H297">
        <f t="shared" si="4"/>
        <v>24000</v>
      </c>
      <c r="I297" t="str">
        <f>IFERROR(VLOOKUP(D297,'product master'!A:C,2,FALSE),"Not Found")</f>
        <v>Keyboard</v>
      </c>
      <c r="J297" t="str">
        <f>IFERROR(VLOOKUP(D297,'product master'!A:C,3,FALSE),"Not Found")</f>
        <v>Accessories</v>
      </c>
    </row>
    <row r="298" spans="1:10" x14ac:dyDescent="0.3">
      <c r="A298" t="s">
        <v>331</v>
      </c>
      <c r="B298" s="1">
        <v>46139</v>
      </c>
      <c r="C298" t="s">
        <v>18</v>
      </c>
      <c r="D298" t="s">
        <v>16</v>
      </c>
      <c r="E298">
        <v>4</v>
      </c>
      <c r="F298">
        <v>45000</v>
      </c>
      <c r="G298" t="s">
        <v>30</v>
      </c>
      <c r="H298">
        <f t="shared" si="4"/>
        <v>180000</v>
      </c>
      <c r="I298" t="str">
        <f>IFERROR(VLOOKUP(D298,'product master'!A:C,2,FALSE),"Not Found")</f>
        <v>Laptop</v>
      </c>
      <c r="J298" t="str">
        <f>IFERROR(VLOOKUP(D298,'product master'!A:C,3,FALSE),"Not Found")</f>
        <v>Electronics</v>
      </c>
    </row>
    <row r="299" spans="1:10" x14ac:dyDescent="0.3">
      <c r="A299" t="s">
        <v>332</v>
      </c>
      <c r="B299" s="1">
        <v>46139</v>
      </c>
      <c r="C299" t="s">
        <v>8</v>
      </c>
      <c r="D299" t="s">
        <v>22</v>
      </c>
      <c r="E299">
        <v>46</v>
      </c>
      <c r="F299">
        <v>320</v>
      </c>
      <c r="G299" t="s">
        <v>10</v>
      </c>
      <c r="H299">
        <f t="shared" si="4"/>
        <v>14720</v>
      </c>
      <c r="I299" t="str">
        <f>IFERROR(VLOOKUP(D299,'product master'!A:C,2,FALSE),"Not Found")</f>
        <v>Notebook Pack</v>
      </c>
      <c r="J299" t="str">
        <f>IFERROR(VLOOKUP(D299,'product master'!A:C,3,FALSE),"Not Found")</f>
        <v>Stationery</v>
      </c>
    </row>
    <row r="300" spans="1:10" x14ac:dyDescent="0.3">
      <c r="A300" t="s">
        <v>333</v>
      </c>
      <c r="B300" s="1">
        <v>46139</v>
      </c>
      <c r="C300" t="s">
        <v>12</v>
      </c>
      <c r="D300" t="s">
        <v>58</v>
      </c>
      <c r="E300">
        <v>17</v>
      </c>
      <c r="F300">
        <v>1200</v>
      </c>
      <c r="G300" t="s">
        <v>14</v>
      </c>
      <c r="H300">
        <f t="shared" si="4"/>
        <v>20400</v>
      </c>
      <c r="I300" t="str">
        <f>IFERROR(VLOOKUP(D300,'product master'!A:C,2,FALSE),"Not Found")</f>
        <v>Keyboard</v>
      </c>
      <c r="J300" t="str">
        <f>IFERROR(VLOOKUP(D300,'product master'!A:C,3,FALSE),"Not Found")</f>
        <v>Accessories</v>
      </c>
    </row>
    <row r="301" spans="1:10" x14ac:dyDescent="0.3">
      <c r="A301" t="s">
        <v>334</v>
      </c>
      <c r="B301" s="1">
        <v>46140</v>
      </c>
      <c r="C301" t="s">
        <v>18</v>
      </c>
      <c r="D301" t="s">
        <v>41</v>
      </c>
      <c r="E301">
        <v>1</v>
      </c>
      <c r="F301" s="2">
        <v>9800</v>
      </c>
      <c r="G301" t="s">
        <v>20</v>
      </c>
      <c r="H301">
        <f t="shared" si="4"/>
        <v>9800</v>
      </c>
      <c r="I301" t="str">
        <f>IFERROR(VLOOKUP(D301,'product master'!A:C,2,FALSE),"Not Found")</f>
        <v>Study Desk</v>
      </c>
      <c r="J301" t="str">
        <f>IFERROR(VLOOKUP(D301,'product master'!A:C,3,FALSE),"Not Found")</f>
        <v>Furniture</v>
      </c>
    </row>
    <row r="302" spans="1:10" x14ac:dyDescent="0.3">
      <c r="A302" t="s">
        <v>335</v>
      </c>
      <c r="B302" s="1">
        <v>46141</v>
      </c>
      <c r="C302" t="s">
        <v>8</v>
      </c>
      <c r="D302" t="s">
        <v>58</v>
      </c>
      <c r="E302">
        <v>19</v>
      </c>
      <c r="F302">
        <v>1200</v>
      </c>
      <c r="G302" t="s">
        <v>23</v>
      </c>
      <c r="H302">
        <f t="shared" si="4"/>
        <v>22800</v>
      </c>
      <c r="I302" t="str">
        <f>IFERROR(VLOOKUP(D302,'product master'!A:C,2,FALSE),"Not Found")</f>
        <v>Keyboard</v>
      </c>
      <c r="J302" t="str">
        <f>IFERROR(VLOOKUP(D302,'product master'!A:C,3,FALSE),"Not Found")</f>
        <v>Accessories</v>
      </c>
    </row>
    <row r="303" spans="1:10" x14ac:dyDescent="0.3">
      <c r="A303" t="s">
        <v>336</v>
      </c>
      <c r="B303" s="1">
        <v>46141</v>
      </c>
      <c r="C303" t="s">
        <v>12</v>
      </c>
      <c r="D303" t="s">
        <v>16</v>
      </c>
      <c r="E303">
        <v>1</v>
      </c>
      <c r="F303">
        <v>45000</v>
      </c>
      <c r="G303" t="s">
        <v>14</v>
      </c>
      <c r="H303">
        <f t="shared" si="4"/>
        <v>45000</v>
      </c>
      <c r="I303" t="str">
        <f>IFERROR(VLOOKUP(D303,'product master'!A:C,2,FALSE),"Not Found")</f>
        <v>Laptop</v>
      </c>
      <c r="J303" t="str">
        <f>IFERROR(VLOOKUP(D303,'product master'!A:C,3,FALSE),"Not Found")</f>
        <v>Electronics</v>
      </c>
    </row>
    <row r="304" spans="1:10" x14ac:dyDescent="0.3">
      <c r="A304" t="s">
        <v>337</v>
      </c>
      <c r="B304" s="1">
        <v>46142</v>
      </c>
      <c r="C304" t="s">
        <v>12</v>
      </c>
      <c r="D304" t="s">
        <v>51</v>
      </c>
      <c r="E304">
        <v>10</v>
      </c>
      <c r="F304">
        <v>2200</v>
      </c>
      <c r="G304" t="s">
        <v>28</v>
      </c>
      <c r="H304">
        <f t="shared" si="4"/>
        <v>22000</v>
      </c>
      <c r="I304" t="str">
        <f>IFERROR(VLOOKUP(D304,'product master'!A:C,2,FALSE),"Not Found")</f>
        <v>Headphones</v>
      </c>
      <c r="J304" t="str">
        <f>IFERROR(VLOOKUP(D304,'product master'!A:C,3,FALSE),"Not Found")</f>
        <v>Accessories</v>
      </c>
    </row>
    <row r="305" spans="1:10" x14ac:dyDescent="0.3">
      <c r="A305" t="s">
        <v>338</v>
      </c>
      <c r="B305" s="1">
        <v>46142</v>
      </c>
      <c r="C305" t="s">
        <v>8</v>
      </c>
      <c r="D305" t="s">
        <v>58</v>
      </c>
      <c r="E305">
        <v>18</v>
      </c>
      <c r="F305">
        <v>1200</v>
      </c>
      <c r="G305" t="s">
        <v>10</v>
      </c>
      <c r="H305">
        <f t="shared" si="4"/>
        <v>21600</v>
      </c>
      <c r="I305" t="str">
        <f>IFERROR(VLOOKUP(D305,'product master'!A:C,2,FALSE),"Not Found")</f>
        <v>Keyboard</v>
      </c>
      <c r="J305" t="str">
        <f>IFERROR(VLOOKUP(D305,'product master'!A:C,3,FALSE),"Not Found")</f>
        <v>Accessories</v>
      </c>
    </row>
    <row r="306" spans="1:10" x14ac:dyDescent="0.3">
      <c r="A306" t="s">
        <v>339</v>
      </c>
      <c r="B306" s="1">
        <v>46142</v>
      </c>
      <c r="C306" t="s">
        <v>25</v>
      </c>
      <c r="D306" t="s">
        <v>41</v>
      </c>
      <c r="E306">
        <v>4</v>
      </c>
      <c r="F306">
        <v>9800</v>
      </c>
      <c r="G306" t="s">
        <v>26</v>
      </c>
      <c r="H306">
        <f t="shared" si="4"/>
        <v>39200</v>
      </c>
      <c r="I306" t="str">
        <f>IFERROR(VLOOKUP(D306,'product master'!A:C,2,FALSE),"Not Found")</f>
        <v>Study Desk</v>
      </c>
      <c r="J306" t="str">
        <f>IFERROR(VLOOKUP(D306,'product master'!A:C,3,FALSE),"Not Found")</f>
        <v>Furniture</v>
      </c>
    </row>
    <row r="307" spans="1:10" x14ac:dyDescent="0.3">
      <c r="A307" t="s">
        <v>340</v>
      </c>
      <c r="B307" s="1">
        <v>46143</v>
      </c>
      <c r="C307" t="s">
        <v>12</v>
      </c>
      <c r="D307" t="s">
        <v>22</v>
      </c>
      <c r="E307">
        <v>76</v>
      </c>
      <c r="F307">
        <v>320</v>
      </c>
      <c r="G307" t="s">
        <v>14</v>
      </c>
      <c r="H307">
        <f t="shared" si="4"/>
        <v>24320</v>
      </c>
      <c r="I307" t="str">
        <f>IFERROR(VLOOKUP(D307,'product master'!A:C,2,FALSE),"Not Found")</f>
        <v>Notebook Pack</v>
      </c>
      <c r="J307" t="str">
        <f>IFERROR(VLOOKUP(D307,'product master'!A:C,3,FALSE),"Not Found")</f>
        <v>Stationery</v>
      </c>
    </row>
    <row r="308" spans="1:10" x14ac:dyDescent="0.3">
      <c r="A308" t="s">
        <v>341</v>
      </c>
      <c r="B308" s="1">
        <v>46144</v>
      </c>
      <c r="C308" t="s">
        <v>18</v>
      </c>
      <c r="D308" t="s">
        <v>51</v>
      </c>
      <c r="E308">
        <v>11</v>
      </c>
      <c r="F308">
        <v>2200</v>
      </c>
      <c r="G308" t="s">
        <v>33</v>
      </c>
      <c r="H308">
        <f t="shared" si="4"/>
        <v>24200</v>
      </c>
      <c r="I308" t="str">
        <f>IFERROR(VLOOKUP(D308,'product master'!A:C,2,FALSE),"Not Found")</f>
        <v>Headphones</v>
      </c>
      <c r="J308" t="str">
        <f>IFERROR(VLOOKUP(D308,'product master'!A:C,3,FALSE),"Not Found")</f>
        <v>Accessories</v>
      </c>
    </row>
    <row r="309" spans="1:10" x14ac:dyDescent="0.3">
      <c r="A309" t="s">
        <v>342</v>
      </c>
      <c r="B309" s="1">
        <v>46144</v>
      </c>
      <c r="C309" t="s">
        <v>18</v>
      </c>
      <c r="D309" t="s">
        <v>9</v>
      </c>
      <c r="E309">
        <v>6</v>
      </c>
      <c r="F309">
        <v>7500</v>
      </c>
      <c r="G309" t="s">
        <v>30</v>
      </c>
      <c r="H309">
        <f t="shared" si="4"/>
        <v>45000</v>
      </c>
      <c r="I309" t="str">
        <f>IFERROR(VLOOKUP(D309,'product master'!A:C,2,FALSE),"Not Found")</f>
        <v>Office Chair</v>
      </c>
      <c r="J309" t="str">
        <f>IFERROR(VLOOKUP(D309,'product master'!A:C,3,FALSE),"Not Found")</f>
        <v>Furniture</v>
      </c>
    </row>
    <row r="310" spans="1:10" x14ac:dyDescent="0.3">
      <c r="A310" t="s">
        <v>343</v>
      </c>
      <c r="B310" s="1">
        <v>46144</v>
      </c>
      <c r="C310" t="s">
        <v>12</v>
      </c>
      <c r="D310" t="s">
        <v>19</v>
      </c>
      <c r="E310">
        <v>16</v>
      </c>
      <c r="F310">
        <v>650</v>
      </c>
      <c r="G310" t="s">
        <v>14</v>
      </c>
      <c r="H310">
        <f t="shared" si="4"/>
        <v>10400</v>
      </c>
      <c r="I310" t="str">
        <f>IFERROR(VLOOKUP(D310,'product master'!A:C,2,FALSE),"Not Found")</f>
        <v>Wireless Mouse</v>
      </c>
      <c r="J310" t="str">
        <f>IFERROR(VLOOKUP(D310,'product master'!A:C,3,FALSE),"Not Found")</f>
        <v>Accessories</v>
      </c>
    </row>
    <row r="311" spans="1:10" x14ac:dyDescent="0.3">
      <c r="A311" t="s">
        <v>344</v>
      </c>
      <c r="B311" s="1">
        <v>46144</v>
      </c>
      <c r="C311" t="s">
        <v>8</v>
      </c>
      <c r="D311" t="s">
        <v>13</v>
      </c>
      <c r="E311">
        <v>21</v>
      </c>
      <c r="F311">
        <v>180</v>
      </c>
      <c r="G311" t="s">
        <v>23</v>
      </c>
      <c r="H311">
        <f t="shared" si="4"/>
        <v>3780</v>
      </c>
      <c r="I311" t="str">
        <f>IFERROR(VLOOKUP(D311,'product master'!A:C,2,FALSE),"Not Found")</f>
        <v>Pen Box</v>
      </c>
      <c r="J311" t="str">
        <f>IFERROR(VLOOKUP(D311,'product master'!A:C,3,FALSE),"Not Found")</f>
        <v>Stationery</v>
      </c>
    </row>
    <row r="312" spans="1:10" x14ac:dyDescent="0.3">
      <c r="A312" t="s">
        <v>345</v>
      </c>
      <c r="B312" s="1">
        <v>46144</v>
      </c>
      <c r="C312" t="s">
        <v>18</v>
      </c>
      <c r="D312" t="s">
        <v>13</v>
      </c>
      <c r="E312">
        <v>23</v>
      </c>
      <c r="F312">
        <v>180</v>
      </c>
      <c r="G312" t="s">
        <v>33</v>
      </c>
      <c r="H312">
        <f t="shared" si="4"/>
        <v>4140</v>
      </c>
      <c r="I312" t="str">
        <f>IFERROR(VLOOKUP(D312,'product master'!A:C,2,FALSE),"Not Found")</f>
        <v>Pen Box</v>
      </c>
      <c r="J312" t="str">
        <f>IFERROR(VLOOKUP(D312,'product master'!A:C,3,FALSE),"Not Found")</f>
        <v>Stationery</v>
      </c>
    </row>
    <row r="313" spans="1:10" x14ac:dyDescent="0.3">
      <c r="A313" t="s">
        <v>346</v>
      </c>
      <c r="B313" s="1">
        <v>46145</v>
      </c>
      <c r="C313" t="s">
        <v>18</v>
      </c>
      <c r="D313" t="s">
        <v>51</v>
      </c>
      <c r="E313">
        <v>15</v>
      </c>
      <c r="F313">
        <v>2200</v>
      </c>
      <c r="G313" t="s">
        <v>30</v>
      </c>
      <c r="H313">
        <f t="shared" si="4"/>
        <v>33000</v>
      </c>
      <c r="I313" t="str">
        <f>IFERROR(VLOOKUP(D313,'product master'!A:C,2,FALSE),"Not Found")</f>
        <v>Headphones</v>
      </c>
      <c r="J313" t="str">
        <f>IFERROR(VLOOKUP(D313,'product master'!A:C,3,FALSE),"Not Found")</f>
        <v>Accessories</v>
      </c>
    </row>
    <row r="314" spans="1:10" x14ac:dyDescent="0.3">
      <c r="A314" t="s">
        <v>347</v>
      </c>
      <c r="B314" s="1">
        <v>46146</v>
      </c>
      <c r="C314" t="s">
        <v>12</v>
      </c>
      <c r="D314" t="s">
        <v>51</v>
      </c>
      <c r="E314">
        <v>19</v>
      </c>
      <c r="F314">
        <v>2200</v>
      </c>
      <c r="G314" t="s">
        <v>28</v>
      </c>
      <c r="H314">
        <f t="shared" si="4"/>
        <v>41800</v>
      </c>
      <c r="I314" t="str">
        <f>IFERROR(VLOOKUP(D314,'product master'!A:C,2,FALSE),"Not Found")</f>
        <v>Headphones</v>
      </c>
      <c r="J314" t="str">
        <f>IFERROR(VLOOKUP(D314,'product master'!A:C,3,FALSE),"Not Found")</f>
        <v>Accessories</v>
      </c>
    </row>
    <row r="315" spans="1:10" x14ac:dyDescent="0.3">
      <c r="A315" t="s">
        <v>348</v>
      </c>
      <c r="B315" s="1">
        <v>46147</v>
      </c>
      <c r="C315" t="s">
        <v>8</v>
      </c>
      <c r="D315" t="s">
        <v>51</v>
      </c>
      <c r="E315">
        <v>5</v>
      </c>
      <c r="F315">
        <v>2200</v>
      </c>
      <c r="G315" t="s">
        <v>49</v>
      </c>
      <c r="H315">
        <f t="shared" si="4"/>
        <v>11000</v>
      </c>
      <c r="I315" t="str">
        <f>IFERROR(VLOOKUP(D315,'product master'!A:C,2,FALSE),"Not Found")</f>
        <v>Headphones</v>
      </c>
      <c r="J315" t="str">
        <f>IFERROR(VLOOKUP(D315,'product master'!A:C,3,FALSE),"Not Found")</f>
        <v>Accessories</v>
      </c>
    </row>
    <row r="316" spans="1:10" x14ac:dyDescent="0.3">
      <c r="A316" t="s">
        <v>349</v>
      </c>
      <c r="B316" s="1">
        <v>46147</v>
      </c>
      <c r="C316" t="s">
        <v>18</v>
      </c>
      <c r="D316" t="s">
        <v>180</v>
      </c>
      <c r="E316">
        <v>2</v>
      </c>
      <c r="F316">
        <v>9500</v>
      </c>
      <c r="G316" t="s">
        <v>33</v>
      </c>
      <c r="H316">
        <f t="shared" si="4"/>
        <v>19000</v>
      </c>
      <c r="I316" t="str">
        <f>IFERROR(VLOOKUP(D316,'product master'!A:C,2,FALSE),"Not Found")</f>
        <v>Printer</v>
      </c>
      <c r="J316" t="str">
        <f>IFERROR(VLOOKUP(D316,'product master'!A:C,3,FALSE),"Not Found")</f>
        <v>Electronics</v>
      </c>
    </row>
    <row r="317" spans="1:10" x14ac:dyDescent="0.3">
      <c r="A317" t="s">
        <v>350</v>
      </c>
      <c r="B317" s="1">
        <v>46147</v>
      </c>
      <c r="C317" t="s">
        <v>12</v>
      </c>
      <c r="D317" t="s">
        <v>9</v>
      </c>
      <c r="E317">
        <v>6</v>
      </c>
      <c r="F317">
        <v>7500</v>
      </c>
      <c r="G317" t="s">
        <v>28</v>
      </c>
      <c r="H317">
        <f t="shared" si="4"/>
        <v>45000</v>
      </c>
      <c r="I317" t="str">
        <f>IFERROR(VLOOKUP(D317,'product master'!A:C,2,FALSE),"Not Found")</f>
        <v>Office Chair</v>
      </c>
      <c r="J317" t="str">
        <f>IFERROR(VLOOKUP(D317,'product master'!A:C,3,FALSE),"Not Found")</f>
        <v>Furniture</v>
      </c>
    </row>
    <row r="318" spans="1:10" x14ac:dyDescent="0.3">
      <c r="A318" t="s">
        <v>351</v>
      </c>
      <c r="B318" s="1">
        <v>46147</v>
      </c>
      <c r="C318" t="s">
        <v>25</v>
      </c>
      <c r="D318" t="s">
        <v>13</v>
      </c>
      <c r="E318">
        <v>58</v>
      </c>
      <c r="F318">
        <v>180</v>
      </c>
      <c r="G318" t="s">
        <v>26</v>
      </c>
      <c r="H318">
        <f t="shared" si="4"/>
        <v>10440</v>
      </c>
      <c r="I318" t="str">
        <f>IFERROR(VLOOKUP(D318,'product master'!A:C,2,FALSE),"Not Found")</f>
        <v>Pen Box</v>
      </c>
      <c r="J318" t="str">
        <f>IFERROR(VLOOKUP(D318,'product master'!A:C,3,FALSE),"Not Found")</f>
        <v>Stationery</v>
      </c>
    </row>
    <row r="319" spans="1:10" x14ac:dyDescent="0.3">
      <c r="A319" t="s">
        <v>352</v>
      </c>
      <c r="B319" s="1">
        <v>46147</v>
      </c>
      <c r="C319" t="s">
        <v>25</v>
      </c>
      <c r="D319" t="s">
        <v>41</v>
      </c>
      <c r="E319">
        <v>5</v>
      </c>
      <c r="F319">
        <v>9800</v>
      </c>
      <c r="G319" t="s">
        <v>39</v>
      </c>
      <c r="H319">
        <f t="shared" si="4"/>
        <v>49000</v>
      </c>
      <c r="I319" t="str">
        <f>IFERROR(VLOOKUP(D319,'product master'!A:C,2,FALSE),"Not Found")</f>
        <v>Study Desk</v>
      </c>
      <c r="J319" t="str">
        <f>IFERROR(VLOOKUP(D319,'product master'!A:C,3,FALSE),"Not Found")</f>
        <v>Furniture</v>
      </c>
    </row>
    <row r="320" spans="1:10" x14ac:dyDescent="0.3">
      <c r="A320" t="s">
        <v>353</v>
      </c>
      <c r="B320" s="1">
        <v>46148</v>
      </c>
      <c r="C320" t="s">
        <v>25</v>
      </c>
      <c r="D320" t="s">
        <v>16</v>
      </c>
      <c r="E320">
        <v>1</v>
      </c>
      <c r="F320">
        <v>45000</v>
      </c>
      <c r="G320" t="s">
        <v>39</v>
      </c>
      <c r="H320">
        <f t="shared" si="4"/>
        <v>45000</v>
      </c>
      <c r="I320" t="str">
        <f>IFERROR(VLOOKUP(D320,'product master'!A:C,2,FALSE),"Not Found")</f>
        <v>Laptop</v>
      </c>
      <c r="J320" t="str">
        <f>IFERROR(VLOOKUP(D320,'product master'!A:C,3,FALSE),"Not Found")</f>
        <v>Electronics</v>
      </c>
    </row>
    <row r="321" spans="1:10" x14ac:dyDescent="0.3">
      <c r="A321" t="s">
        <v>354</v>
      </c>
      <c r="B321" s="1">
        <v>46148</v>
      </c>
      <c r="C321" t="s">
        <v>18</v>
      </c>
      <c r="D321" t="s">
        <v>22</v>
      </c>
      <c r="E321">
        <v>54</v>
      </c>
      <c r="F321">
        <v>320</v>
      </c>
      <c r="G321" t="s">
        <v>33</v>
      </c>
      <c r="H321">
        <f t="shared" si="4"/>
        <v>17280</v>
      </c>
      <c r="I321" t="str">
        <f>IFERROR(VLOOKUP(D321,'product master'!A:C,2,FALSE),"Not Found")</f>
        <v>Notebook Pack</v>
      </c>
      <c r="J321" t="str">
        <f>IFERROR(VLOOKUP(D321,'product master'!A:C,3,FALSE),"Not Found")</f>
        <v>Stationery</v>
      </c>
    </row>
    <row r="322" spans="1:10" x14ac:dyDescent="0.3">
      <c r="A322" t="s">
        <v>355</v>
      </c>
      <c r="B322" s="1">
        <v>46148</v>
      </c>
      <c r="C322" t="s">
        <v>12</v>
      </c>
      <c r="D322" t="s">
        <v>13</v>
      </c>
      <c r="E322">
        <v>74</v>
      </c>
      <c r="F322">
        <v>180</v>
      </c>
      <c r="G322" t="s">
        <v>14</v>
      </c>
      <c r="H322">
        <f t="shared" ref="H322:H385" si="5">E322*F322</f>
        <v>13320</v>
      </c>
      <c r="I322" t="str">
        <f>IFERROR(VLOOKUP(D322,'product master'!A:C,2,FALSE),"Not Found")</f>
        <v>Pen Box</v>
      </c>
      <c r="J322" t="str">
        <f>IFERROR(VLOOKUP(D322,'product master'!A:C,3,FALSE),"Not Found")</f>
        <v>Stationery</v>
      </c>
    </row>
    <row r="323" spans="1:10" x14ac:dyDescent="0.3">
      <c r="A323" t="s">
        <v>356</v>
      </c>
      <c r="B323" s="1">
        <v>46149</v>
      </c>
      <c r="C323" t="s">
        <v>12</v>
      </c>
      <c r="D323" t="s">
        <v>22</v>
      </c>
      <c r="E323">
        <v>14</v>
      </c>
      <c r="F323">
        <v>320</v>
      </c>
      <c r="G323" t="s">
        <v>28</v>
      </c>
      <c r="H323">
        <f t="shared" si="5"/>
        <v>4480</v>
      </c>
      <c r="I323" t="str">
        <f>IFERROR(VLOOKUP(D323,'product master'!A:C,2,FALSE),"Not Found")</f>
        <v>Notebook Pack</v>
      </c>
      <c r="J323" t="str">
        <f>IFERROR(VLOOKUP(D323,'product master'!A:C,3,FALSE),"Not Found")</f>
        <v>Stationery</v>
      </c>
    </row>
    <row r="324" spans="1:10" x14ac:dyDescent="0.3">
      <c r="A324" t="s">
        <v>357</v>
      </c>
      <c r="B324" s="1">
        <v>46149</v>
      </c>
      <c r="C324" t="s">
        <v>8</v>
      </c>
      <c r="D324" t="s">
        <v>22</v>
      </c>
      <c r="E324">
        <v>17</v>
      </c>
      <c r="F324">
        <v>320</v>
      </c>
      <c r="G324" t="s">
        <v>49</v>
      </c>
      <c r="H324">
        <f t="shared" si="5"/>
        <v>5440</v>
      </c>
      <c r="I324" t="str">
        <f>IFERROR(VLOOKUP(D324,'product master'!A:C,2,FALSE),"Not Found")</f>
        <v>Notebook Pack</v>
      </c>
      <c r="J324" t="str">
        <f>IFERROR(VLOOKUP(D324,'product master'!A:C,3,FALSE),"Not Found")</f>
        <v>Stationery</v>
      </c>
    </row>
    <row r="325" spans="1:10" x14ac:dyDescent="0.3">
      <c r="A325" t="s">
        <v>358</v>
      </c>
      <c r="B325" s="1">
        <v>46149</v>
      </c>
      <c r="C325" t="s">
        <v>18</v>
      </c>
      <c r="D325" t="s">
        <v>16</v>
      </c>
      <c r="E325">
        <v>2</v>
      </c>
      <c r="F325">
        <v>45000</v>
      </c>
      <c r="G325" t="s">
        <v>20</v>
      </c>
      <c r="H325">
        <f t="shared" si="5"/>
        <v>90000</v>
      </c>
      <c r="I325" t="str">
        <f>IFERROR(VLOOKUP(D325,'product master'!A:C,2,FALSE),"Not Found")</f>
        <v>Laptop</v>
      </c>
      <c r="J325" t="str">
        <f>IFERROR(VLOOKUP(D325,'product master'!A:C,3,FALSE),"Not Found")</f>
        <v>Electronics</v>
      </c>
    </row>
    <row r="326" spans="1:10" x14ac:dyDescent="0.3">
      <c r="A326" t="s">
        <v>359</v>
      </c>
      <c r="B326" s="1">
        <v>46149</v>
      </c>
      <c r="C326" t="s">
        <v>18</v>
      </c>
      <c r="D326" t="s">
        <v>58</v>
      </c>
      <c r="E326">
        <v>3</v>
      </c>
      <c r="F326">
        <v>1200</v>
      </c>
      <c r="G326" t="s">
        <v>33</v>
      </c>
      <c r="H326">
        <f t="shared" si="5"/>
        <v>3600</v>
      </c>
      <c r="I326" t="str">
        <f>IFERROR(VLOOKUP(D326,'product master'!A:C,2,FALSE),"Not Found")</f>
        <v>Keyboard</v>
      </c>
      <c r="J326" t="str">
        <f>IFERROR(VLOOKUP(D326,'product master'!A:C,3,FALSE),"Not Found")</f>
        <v>Accessories</v>
      </c>
    </row>
    <row r="327" spans="1:10" x14ac:dyDescent="0.3">
      <c r="A327" t="s">
        <v>360</v>
      </c>
      <c r="B327" s="1">
        <v>46150</v>
      </c>
      <c r="C327" t="s">
        <v>8</v>
      </c>
      <c r="D327" t="s">
        <v>180</v>
      </c>
      <c r="E327">
        <v>1</v>
      </c>
      <c r="F327">
        <v>9500</v>
      </c>
      <c r="G327" t="s">
        <v>10</v>
      </c>
      <c r="H327">
        <f t="shared" si="5"/>
        <v>9500</v>
      </c>
      <c r="I327" t="str">
        <f>IFERROR(VLOOKUP(D327,'product master'!A:C,2,FALSE),"Not Found")</f>
        <v>Printer</v>
      </c>
      <c r="J327" t="str">
        <f>IFERROR(VLOOKUP(D327,'product master'!A:C,3,FALSE),"Not Found")</f>
        <v>Electronics</v>
      </c>
    </row>
    <row r="328" spans="1:10" x14ac:dyDescent="0.3">
      <c r="A328" t="s">
        <v>361</v>
      </c>
      <c r="B328" s="1">
        <v>46150</v>
      </c>
      <c r="C328" t="s">
        <v>8</v>
      </c>
      <c r="D328" t="s">
        <v>51</v>
      </c>
      <c r="E328">
        <v>6</v>
      </c>
      <c r="F328">
        <v>2200</v>
      </c>
      <c r="G328" t="s">
        <v>49</v>
      </c>
      <c r="H328">
        <f t="shared" si="5"/>
        <v>13200</v>
      </c>
      <c r="I328" t="str">
        <f>IFERROR(VLOOKUP(D328,'product master'!A:C,2,FALSE),"Not Found")</f>
        <v>Headphones</v>
      </c>
      <c r="J328" t="str">
        <f>IFERROR(VLOOKUP(D328,'product master'!A:C,3,FALSE),"Not Found")</f>
        <v>Accessories</v>
      </c>
    </row>
    <row r="329" spans="1:10" x14ac:dyDescent="0.3">
      <c r="A329" t="s">
        <v>362</v>
      </c>
      <c r="B329" s="1">
        <v>46151</v>
      </c>
      <c r="C329" t="s">
        <v>12</v>
      </c>
      <c r="D329" t="s">
        <v>19</v>
      </c>
      <c r="E329">
        <v>9</v>
      </c>
      <c r="F329">
        <v>650</v>
      </c>
      <c r="G329" t="s">
        <v>28</v>
      </c>
      <c r="H329">
        <f t="shared" si="5"/>
        <v>5850</v>
      </c>
      <c r="I329" t="str">
        <f>IFERROR(VLOOKUP(D329,'product master'!A:C,2,FALSE),"Not Found")</f>
        <v>Wireless Mouse</v>
      </c>
      <c r="J329" t="str">
        <f>IFERROR(VLOOKUP(D329,'product master'!A:C,3,FALSE),"Not Found")</f>
        <v>Accessories</v>
      </c>
    </row>
    <row r="330" spans="1:10" x14ac:dyDescent="0.3">
      <c r="A330" t="s">
        <v>363</v>
      </c>
      <c r="B330" s="1">
        <v>46151</v>
      </c>
      <c r="C330" t="s">
        <v>8</v>
      </c>
      <c r="D330" t="s">
        <v>9</v>
      </c>
      <c r="E330">
        <v>5</v>
      </c>
      <c r="F330">
        <v>7500</v>
      </c>
      <c r="G330" t="s">
        <v>49</v>
      </c>
      <c r="H330">
        <f t="shared" si="5"/>
        <v>37500</v>
      </c>
      <c r="I330" t="str">
        <f>IFERROR(VLOOKUP(D330,'product master'!A:C,2,FALSE),"Not Found")</f>
        <v>Office Chair</v>
      </c>
      <c r="J330" t="str">
        <f>IFERROR(VLOOKUP(D330,'product master'!A:C,3,FALSE),"Not Found")</f>
        <v>Furniture</v>
      </c>
    </row>
    <row r="331" spans="1:10" x14ac:dyDescent="0.3">
      <c r="A331" t="s">
        <v>364</v>
      </c>
      <c r="B331" s="1">
        <v>46151</v>
      </c>
      <c r="C331" t="s">
        <v>18</v>
      </c>
      <c r="D331" t="s">
        <v>22</v>
      </c>
      <c r="E331">
        <v>65</v>
      </c>
      <c r="F331">
        <v>320</v>
      </c>
      <c r="G331" t="s">
        <v>20</v>
      </c>
      <c r="H331">
        <f t="shared" si="5"/>
        <v>20800</v>
      </c>
      <c r="I331" t="str">
        <f>IFERROR(VLOOKUP(D331,'product master'!A:C,2,FALSE),"Not Found")</f>
        <v>Notebook Pack</v>
      </c>
      <c r="J331" t="str">
        <f>IFERROR(VLOOKUP(D331,'product master'!A:C,3,FALSE),"Not Found")</f>
        <v>Stationery</v>
      </c>
    </row>
    <row r="332" spans="1:10" x14ac:dyDescent="0.3">
      <c r="A332" t="s">
        <v>365</v>
      </c>
      <c r="B332" s="1">
        <v>46152</v>
      </c>
      <c r="C332" t="s">
        <v>25</v>
      </c>
      <c r="D332" t="s">
        <v>36</v>
      </c>
      <c r="E332">
        <v>1</v>
      </c>
      <c r="F332">
        <v>12000</v>
      </c>
      <c r="G332" t="s">
        <v>47</v>
      </c>
      <c r="H332">
        <f t="shared" si="5"/>
        <v>12000</v>
      </c>
      <c r="I332" t="str">
        <f>IFERROR(VLOOKUP(D332,'product master'!A:C,2,FALSE),"Not Found")</f>
        <v>Monitor</v>
      </c>
      <c r="J332" t="str">
        <f>IFERROR(VLOOKUP(D332,'product master'!A:C,3,FALSE),"Not Found")</f>
        <v>Electronics</v>
      </c>
    </row>
    <row r="333" spans="1:10" x14ac:dyDescent="0.3">
      <c r="A333" t="s">
        <v>366</v>
      </c>
      <c r="B333" s="1">
        <v>46153</v>
      </c>
      <c r="C333" t="s">
        <v>18</v>
      </c>
      <c r="D333" t="s">
        <v>13</v>
      </c>
      <c r="E333">
        <v>79</v>
      </c>
      <c r="F333">
        <v>180</v>
      </c>
      <c r="G333" t="s">
        <v>33</v>
      </c>
      <c r="H333">
        <f t="shared" si="5"/>
        <v>14220</v>
      </c>
      <c r="I333" t="str">
        <f>IFERROR(VLOOKUP(D333,'product master'!A:C,2,FALSE),"Not Found")</f>
        <v>Pen Box</v>
      </c>
      <c r="J333" t="str">
        <f>IFERROR(VLOOKUP(D333,'product master'!A:C,3,FALSE),"Not Found")</f>
        <v>Stationery</v>
      </c>
    </row>
    <row r="334" spans="1:10" x14ac:dyDescent="0.3">
      <c r="A334" t="s">
        <v>367</v>
      </c>
      <c r="B334" s="1">
        <v>46153</v>
      </c>
      <c r="C334" t="s">
        <v>25</v>
      </c>
      <c r="D334" t="s">
        <v>13</v>
      </c>
      <c r="E334">
        <v>77</v>
      </c>
      <c r="F334">
        <v>180</v>
      </c>
      <c r="G334" t="s">
        <v>47</v>
      </c>
      <c r="H334">
        <f t="shared" si="5"/>
        <v>13860</v>
      </c>
      <c r="I334" t="str">
        <f>IFERROR(VLOOKUP(D334,'product master'!A:C,2,FALSE),"Not Found")</f>
        <v>Pen Box</v>
      </c>
      <c r="J334" t="str">
        <f>IFERROR(VLOOKUP(D334,'product master'!A:C,3,FALSE),"Not Found")</f>
        <v>Stationery</v>
      </c>
    </row>
    <row r="335" spans="1:10" x14ac:dyDescent="0.3">
      <c r="A335" t="s">
        <v>368</v>
      </c>
      <c r="B335" s="1">
        <v>46153</v>
      </c>
      <c r="C335" t="s">
        <v>8</v>
      </c>
      <c r="D335" t="s">
        <v>13</v>
      </c>
      <c r="E335">
        <v>42</v>
      </c>
      <c r="F335">
        <v>180</v>
      </c>
      <c r="G335" t="s">
        <v>23</v>
      </c>
      <c r="H335">
        <f t="shared" si="5"/>
        <v>7560</v>
      </c>
      <c r="I335" t="str">
        <f>IFERROR(VLOOKUP(D335,'product master'!A:C,2,FALSE),"Not Found")</f>
        <v>Pen Box</v>
      </c>
      <c r="J335" t="str">
        <f>IFERROR(VLOOKUP(D335,'product master'!A:C,3,FALSE),"Not Found")</f>
        <v>Stationery</v>
      </c>
    </row>
    <row r="336" spans="1:10" x14ac:dyDescent="0.3">
      <c r="A336" t="s">
        <v>369</v>
      </c>
      <c r="B336" s="1">
        <v>46153</v>
      </c>
      <c r="C336" t="s">
        <v>8</v>
      </c>
      <c r="D336" t="s">
        <v>19</v>
      </c>
      <c r="E336">
        <v>15</v>
      </c>
      <c r="F336">
        <v>650</v>
      </c>
      <c r="G336" t="s">
        <v>23</v>
      </c>
      <c r="H336">
        <f t="shared" si="5"/>
        <v>9750</v>
      </c>
      <c r="I336" t="str">
        <f>IFERROR(VLOOKUP(D336,'product master'!A:C,2,FALSE),"Not Found")</f>
        <v>Wireless Mouse</v>
      </c>
      <c r="J336" t="str">
        <f>IFERROR(VLOOKUP(D336,'product master'!A:C,3,FALSE),"Not Found")</f>
        <v>Accessories</v>
      </c>
    </row>
    <row r="337" spans="1:10" x14ac:dyDescent="0.3">
      <c r="A337" t="s">
        <v>370</v>
      </c>
      <c r="B337" s="1">
        <v>46153</v>
      </c>
      <c r="C337" t="s">
        <v>25</v>
      </c>
      <c r="D337" t="s">
        <v>51</v>
      </c>
      <c r="E337">
        <v>19</v>
      </c>
      <c r="F337">
        <v>2200</v>
      </c>
      <c r="G337" t="s">
        <v>47</v>
      </c>
      <c r="H337">
        <f t="shared" si="5"/>
        <v>41800</v>
      </c>
      <c r="I337" t="str">
        <f>IFERROR(VLOOKUP(D337,'product master'!A:C,2,FALSE),"Not Found")</f>
        <v>Headphones</v>
      </c>
      <c r="J337" t="str">
        <f>IFERROR(VLOOKUP(D337,'product master'!A:C,3,FALSE),"Not Found")</f>
        <v>Accessories</v>
      </c>
    </row>
    <row r="338" spans="1:10" x14ac:dyDescent="0.3">
      <c r="A338" t="s">
        <v>371</v>
      </c>
      <c r="B338" s="1">
        <v>46153</v>
      </c>
      <c r="C338" t="s">
        <v>25</v>
      </c>
      <c r="D338" t="s">
        <v>58</v>
      </c>
      <c r="E338">
        <v>5</v>
      </c>
      <c r="F338">
        <v>1200</v>
      </c>
      <c r="G338" t="s">
        <v>543</v>
      </c>
      <c r="H338">
        <f t="shared" si="5"/>
        <v>6000</v>
      </c>
      <c r="I338" t="str">
        <f>IFERROR(VLOOKUP(D338,'product master'!A:C,2,FALSE),"Not Found")</f>
        <v>Keyboard</v>
      </c>
      <c r="J338" t="str">
        <f>IFERROR(VLOOKUP(D338,'product master'!A:C,3,FALSE),"Not Found")</f>
        <v>Accessories</v>
      </c>
    </row>
    <row r="339" spans="1:10" x14ac:dyDescent="0.3">
      <c r="A339" t="s">
        <v>372</v>
      </c>
      <c r="B339" s="1">
        <v>46153</v>
      </c>
      <c r="C339" t="s">
        <v>18</v>
      </c>
      <c r="D339" t="s">
        <v>16</v>
      </c>
      <c r="E339">
        <v>3</v>
      </c>
      <c r="F339">
        <v>45000</v>
      </c>
      <c r="G339" t="s">
        <v>20</v>
      </c>
      <c r="H339">
        <f t="shared" si="5"/>
        <v>135000</v>
      </c>
      <c r="I339" t="str">
        <f>IFERROR(VLOOKUP(D339,'product master'!A:C,2,FALSE),"Not Found")</f>
        <v>Laptop</v>
      </c>
      <c r="J339" t="str">
        <f>IFERROR(VLOOKUP(D339,'product master'!A:C,3,FALSE),"Not Found")</f>
        <v>Electronics</v>
      </c>
    </row>
    <row r="340" spans="1:10" x14ac:dyDescent="0.3">
      <c r="A340" t="s">
        <v>373</v>
      </c>
      <c r="B340" s="1">
        <v>46153</v>
      </c>
      <c r="C340" t="s">
        <v>25</v>
      </c>
      <c r="D340" t="s">
        <v>9</v>
      </c>
      <c r="E340">
        <v>3</v>
      </c>
      <c r="F340">
        <v>7500</v>
      </c>
      <c r="G340" t="s">
        <v>39</v>
      </c>
      <c r="H340">
        <f t="shared" si="5"/>
        <v>22500</v>
      </c>
      <c r="I340" t="str">
        <f>IFERROR(VLOOKUP(D340,'product master'!A:C,2,FALSE),"Not Found")</f>
        <v>Office Chair</v>
      </c>
      <c r="J340" t="str">
        <f>IFERROR(VLOOKUP(D340,'product master'!A:C,3,FALSE),"Not Found")</f>
        <v>Furniture</v>
      </c>
    </row>
    <row r="341" spans="1:10" x14ac:dyDescent="0.3">
      <c r="A341" t="s">
        <v>374</v>
      </c>
      <c r="B341" s="1">
        <v>46154</v>
      </c>
      <c r="C341" t="s">
        <v>25</v>
      </c>
      <c r="D341" t="s">
        <v>22</v>
      </c>
      <c r="E341">
        <v>40</v>
      </c>
      <c r="F341">
        <v>320</v>
      </c>
      <c r="G341" t="s">
        <v>39</v>
      </c>
      <c r="H341">
        <f t="shared" si="5"/>
        <v>12800</v>
      </c>
      <c r="I341" t="str">
        <f>IFERROR(VLOOKUP(D341,'product master'!A:C,2,FALSE),"Not Found")</f>
        <v>Notebook Pack</v>
      </c>
      <c r="J341" t="str">
        <f>IFERROR(VLOOKUP(D341,'product master'!A:C,3,FALSE),"Not Found")</f>
        <v>Stationery</v>
      </c>
    </row>
    <row r="342" spans="1:10" x14ac:dyDescent="0.3">
      <c r="A342" t="s">
        <v>375</v>
      </c>
      <c r="B342" s="1">
        <v>46154</v>
      </c>
      <c r="C342" t="s">
        <v>8</v>
      </c>
      <c r="D342" t="s">
        <v>22</v>
      </c>
      <c r="E342">
        <v>42</v>
      </c>
      <c r="F342">
        <v>320</v>
      </c>
      <c r="G342" t="s">
        <v>23</v>
      </c>
      <c r="H342">
        <f t="shared" si="5"/>
        <v>13440</v>
      </c>
      <c r="I342" t="str">
        <f>IFERROR(VLOOKUP(D342,'product master'!A:C,2,FALSE),"Not Found")</f>
        <v>Notebook Pack</v>
      </c>
      <c r="J342" t="str">
        <f>IFERROR(VLOOKUP(D342,'product master'!A:C,3,FALSE),"Not Found")</f>
        <v>Stationery</v>
      </c>
    </row>
    <row r="343" spans="1:10" x14ac:dyDescent="0.3">
      <c r="A343" t="s">
        <v>376</v>
      </c>
      <c r="B343" s="1">
        <v>46154</v>
      </c>
      <c r="C343" t="s">
        <v>25</v>
      </c>
      <c r="D343" t="s">
        <v>9</v>
      </c>
      <c r="E343">
        <v>3</v>
      </c>
      <c r="F343">
        <v>7500</v>
      </c>
      <c r="G343" t="s">
        <v>543</v>
      </c>
      <c r="H343">
        <f t="shared" si="5"/>
        <v>22500</v>
      </c>
      <c r="I343" t="str">
        <f>IFERROR(VLOOKUP(D343,'product master'!A:C,2,FALSE),"Not Found")</f>
        <v>Office Chair</v>
      </c>
      <c r="J343" t="str">
        <f>IFERROR(VLOOKUP(D343,'product master'!A:C,3,FALSE),"Not Found")</f>
        <v>Furniture</v>
      </c>
    </row>
    <row r="344" spans="1:10" x14ac:dyDescent="0.3">
      <c r="A344" t="s">
        <v>377</v>
      </c>
      <c r="B344" s="1">
        <v>46154</v>
      </c>
      <c r="C344" t="s">
        <v>18</v>
      </c>
      <c r="D344" t="s">
        <v>9</v>
      </c>
      <c r="E344">
        <v>4</v>
      </c>
      <c r="F344">
        <v>7500</v>
      </c>
      <c r="G344" t="s">
        <v>33</v>
      </c>
      <c r="H344">
        <f t="shared" si="5"/>
        <v>30000</v>
      </c>
      <c r="I344" t="str">
        <f>IFERROR(VLOOKUP(D344,'product master'!A:C,2,FALSE),"Not Found")</f>
        <v>Office Chair</v>
      </c>
      <c r="J344" t="str">
        <f>IFERROR(VLOOKUP(D344,'product master'!A:C,3,FALSE),"Not Found")</f>
        <v>Furniture</v>
      </c>
    </row>
    <row r="345" spans="1:10" x14ac:dyDescent="0.3">
      <c r="A345" t="s">
        <v>378</v>
      </c>
      <c r="B345" s="1">
        <v>46155</v>
      </c>
      <c r="C345" t="s">
        <v>12</v>
      </c>
      <c r="D345" t="s">
        <v>58</v>
      </c>
      <c r="E345">
        <v>20</v>
      </c>
      <c r="F345">
        <v>1200</v>
      </c>
      <c r="G345" t="s">
        <v>28</v>
      </c>
      <c r="H345">
        <f t="shared" si="5"/>
        <v>24000</v>
      </c>
      <c r="I345" t="str">
        <f>IFERROR(VLOOKUP(D345,'product master'!A:C,2,FALSE),"Not Found")</f>
        <v>Keyboard</v>
      </c>
      <c r="J345" t="str">
        <f>IFERROR(VLOOKUP(D345,'product master'!A:C,3,FALSE),"Not Found")</f>
        <v>Accessories</v>
      </c>
    </row>
    <row r="346" spans="1:10" x14ac:dyDescent="0.3">
      <c r="A346" t="s">
        <v>379</v>
      </c>
      <c r="B346" s="1">
        <v>46155</v>
      </c>
      <c r="C346" t="s">
        <v>18</v>
      </c>
      <c r="D346" t="s">
        <v>41</v>
      </c>
      <c r="E346">
        <v>4</v>
      </c>
      <c r="F346">
        <v>9800</v>
      </c>
      <c r="G346" t="s">
        <v>33</v>
      </c>
      <c r="H346">
        <f t="shared" si="5"/>
        <v>39200</v>
      </c>
      <c r="I346" t="str">
        <f>IFERROR(VLOOKUP(D346,'product master'!A:C,2,FALSE),"Not Found")</f>
        <v>Study Desk</v>
      </c>
      <c r="J346" t="str">
        <f>IFERROR(VLOOKUP(D346,'product master'!A:C,3,FALSE),"Not Found")</f>
        <v>Furniture</v>
      </c>
    </row>
    <row r="347" spans="1:10" x14ac:dyDescent="0.3">
      <c r="A347" t="s">
        <v>380</v>
      </c>
      <c r="B347" s="1">
        <v>46155</v>
      </c>
      <c r="C347" t="s">
        <v>25</v>
      </c>
      <c r="D347" t="s">
        <v>51</v>
      </c>
      <c r="E347">
        <v>20</v>
      </c>
      <c r="F347">
        <v>2200</v>
      </c>
      <c r="G347" t="s">
        <v>39</v>
      </c>
      <c r="H347">
        <f t="shared" si="5"/>
        <v>44000</v>
      </c>
      <c r="I347" t="str">
        <f>IFERROR(VLOOKUP(D347,'product master'!A:C,2,FALSE),"Not Found")</f>
        <v>Headphones</v>
      </c>
      <c r="J347" t="str">
        <f>IFERROR(VLOOKUP(D347,'product master'!A:C,3,FALSE),"Not Found")</f>
        <v>Accessories</v>
      </c>
    </row>
    <row r="348" spans="1:10" x14ac:dyDescent="0.3">
      <c r="A348" t="s">
        <v>381</v>
      </c>
      <c r="B348" s="1">
        <v>46156</v>
      </c>
      <c r="C348" t="s">
        <v>18</v>
      </c>
      <c r="D348" t="s">
        <v>16</v>
      </c>
      <c r="E348">
        <v>5</v>
      </c>
      <c r="F348">
        <v>45000</v>
      </c>
      <c r="G348" t="s">
        <v>20</v>
      </c>
      <c r="H348">
        <f t="shared" si="5"/>
        <v>225000</v>
      </c>
      <c r="I348" t="str">
        <f>IFERROR(VLOOKUP(D348,'product master'!A:C,2,FALSE),"Not Found")</f>
        <v>Laptop</v>
      </c>
      <c r="J348" t="str">
        <f>IFERROR(VLOOKUP(D348,'product master'!A:C,3,FALSE),"Not Found")</f>
        <v>Electronics</v>
      </c>
    </row>
    <row r="349" spans="1:10" x14ac:dyDescent="0.3">
      <c r="A349" t="s">
        <v>382</v>
      </c>
      <c r="B349" s="1">
        <v>46157</v>
      </c>
      <c r="C349" t="s">
        <v>12</v>
      </c>
      <c r="D349" t="s">
        <v>16</v>
      </c>
      <c r="E349">
        <v>4</v>
      </c>
      <c r="F349">
        <v>45000</v>
      </c>
      <c r="G349" t="s">
        <v>43</v>
      </c>
      <c r="H349">
        <f t="shared" si="5"/>
        <v>180000</v>
      </c>
      <c r="I349" t="str">
        <f>IFERROR(VLOOKUP(D349,'product master'!A:C,2,FALSE),"Not Found")</f>
        <v>Laptop</v>
      </c>
      <c r="J349" t="str">
        <f>IFERROR(VLOOKUP(D349,'product master'!A:C,3,FALSE),"Not Found")</f>
        <v>Electronics</v>
      </c>
    </row>
    <row r="350" spans="1:10" x14ac:dyDescent="0.3">
      <c r="A350" t="s">
        <v>383</v>
      </c>
      <c r="B350" s="1">
        <v>46158</v>
      </c>
      <c r="C350" t="s">
        <v>25</v>
      </c>
      <c r="D350" t="s">
        <v>58</v>
      </c>
      <c r="E350">
        <v>11</v>
      </c>
      <c r="F350">
        <v>1200</v>
      </c>
      <c r="G350" t="s">
        <v>26</v>
      </c>
      <c r="H350">
        <f t="shared" si="5"/>
        <v>13200</v>
      </c>
      <c r="I350" t="str">
        <f>IFERROR(VLOOKUP(D350,'product master'!A:C,2,FALSE),"Not Found")</f>
        <v>Keyboard</v>
      </c>
      <c r="J350" t="str">
        <f>IFERROR(VLOOKUP(D350,'product master'!A:C,3,FALSE),"Not Found")</f>
        <v>Accessories</v>
      </c>
    </row>
    <row r="351" spans="1:10" x14ac:dyDescent="0.3">
      <c r="A351" t="s">
        <v>384</v>
      </c>
      <c r="B351" s="1">
        <v>46158</v>
      </c>
      <c r="C351" t="s">
        <v>12</v>
      </c>
      <c r="D351" t="s">
        <v>58</v>
      </c>
      <c r="E351">
        <v>9</v>
      </c>
      <c r="F351" s="2">
        <v>1200</v>
      </c>
      <c r="G351" t="s">
        <v>28</v>
      </c>
      <c r="H351">
        <f t="shared" si="5"/>
        <v>10800</v>
      </c>
      <c r="I351" t="str">
        <f>IFERROR(VLOOKUP(D351,'product master'!A:C,2,FALSE),"Not Found")</f>
        <v>Keyboard</v>
      </c>
      <c r="J351" t="str">
        <f>IFERROR(VLOOKUP(D351,'product master'!A:C,3,FALSE),"Not Found")</f>
        <v>Accessories</v>
      </c>
    </row>
    <row r="352" spans="1:10" x14ac:dyDescent="0.3">
      <c r="A352" t="s">
        <v>385</v>
      </c>
      <c r="B352" s="1">
        <v>46159</v>
      </c>
      <c r="C352" t="s">
        <v>12</v>
      </c>
      <c r="D352" t="s">
        <v>19</v>
      </c>
      <c r="E352">
        <v>12</v>
      </c>
      <c r="F352">
        <v>650</v>
      </c>
      <c r="G352" t="s">
        <v>28</v>
      </c>
      <c r="H352">
        <f t="shared" si="5"/>
        <v>7800</v>
      </c>
      <c r="I352" t="str">
        <f>IFERROR(VLOOKUP(D352,'product master'!A:C,2,FALSE),"Not Found")</f>
        <v>Wireless Mouse</v>
      </c>
      <c r="J352" t="str">
        <f>IFERROR(VLOOKUP(D352,'product master'!A:C,3,FALSE),"Not Found")</f>
        <v>Accessories</v>
      </c>
    </row>
    <row r="353" spans="1:10" x14ac:dyDescent="0.3">
      <c r="A353" t="s">
        <v>386</v>
      </c>
      <c r="B353" s="1">
        <v>46160</v>
      </c>
      <c r="C353" t="s">
        <v>12</v>
      </c>
      <c r="D353" t="s">
        <v>19</v>
      </c>
      <c r="E353">
        <v>14</v>
      </c>
      <c r="F353">
        <v>650</v>
      </c>
      <c r="G353" t="s">
        <v>28</v>
      </c>
      <c r="H353">
        <f t="shared" si="5"/>
        <v>9100</v>
      </c>
      <c r="I353" t="str">
        <f>IFERROR(VLOOKUP(D353,'product master'!A:C,2,FALSE),"Not Found")</f>
        <v>Wireless Mouse</v>
      </c>
      <c r="J353" t="str">
        <f>IFERROR(VLOOKUP(D353,'product master'!A:C,3,FALSE),"Not Found")</f>
        <v>Accessories</v>
      </c>
    </row>
    <row r="354" spans="1:10" x14ac:dyDescent="0.3">
      <c r="A354" t="s">
        <v>387</v>
      </c>
      <c r="B354" s="1">
        <v>46160</v>
      </c>
      <c r="C354" t="s">
        <v>25</v>
      </c>
      <c r="D354" t="s">
        <v>36</v>
      </c>
      <c r="E354">
        <v>5</v>
      </c>
      <c r="F354">
        <v>12000</v>
      </c>
      <c r="G354" t="s">
        <v>543</v>
      </c>
      <c r="H354">
        <f t="shared" si="5"/>
        <v>60000</v>
      </c>
      <c r="I354" t="str">
        <f>IFERROR(VLOOKUP(D354,'product master'!A:C,2,FALSE),"Not Found")</f>
        <v>Monitor</v>
      </c>
      <c r="J354" t="str">
        <f>IFERROR(VLOOKUP(D354,'product master'!A:C,3,FALSE),"Not Found")</f>
        <v>Electronics</v>
      </c>
    </row>
    <row r="355" spans="1:10" x14ac:dyDescent="0.3">
      <c r="A355" t="s">
        <v>388</v>
      </c>
      <c r="B355" s="1">
        <v>46160</v>
      </c>
      <c r="C355" t="s">
        <v>25</v>
      </c>
      <c r="D355" t="s">
        <v>22</v>
      </c>
      <c r="E355">
        <v>64</v>
      </c>
      <c r="F355">
        <v>320</v>
      </c>
      <c r="G355" t="s">
        <v>47</v>
      </c>
      <c r="H355">
        <f t="shared" si="5"/>
        <v>20480</v>
      </c>
      <c r="I355" t="str">
        <f>IFERROR(VLOOKUP(D355,'product master'!A:C,2,FALSE),"Not Found")</f>
        <v>Notebook Pack</v>
      </c>
      <c r="J355" t="str">
        <f>IFERROR(VLOOKUP(D355,'product master'!A:C,3,FALSE),"Not Found")</f>
        <v>Stationery</v>
      </c>
    </row>
    <row r="356" spans="1:10" x14ac:dyDescent="0.3">
      <c r="A356" t="s">
        <v>389</v>
      </c>
      <c r="B356" s="1">
        <v>46161</v>
      </c>
      <c r="C356" t="s">
        <v>25</v>
      </c>
      <c r="D356" t="s">
        <v>180</v>
      </c>
      <c r="E356">
        <v>2</v>
      </c>
      <c r="F356">
        <v>9500</v>
      </c>
      <c r="G356" t="s">
        <v>47</v>
      </c>
      <c r="H356">
        <f t="shared" si="5"/>
        <v>19000</v>
      </c>
      <c r="I356" t="str">
        <f>IFERROR(VLOOKUP(D356,'product master'!A:C,2,FALSE),"Not Found")</f>
        <v>Printer</v>
      </c>
      <c r="J356" t="str">
        <f>IFERROR(VLOOKUP(D356,'product master'!A:C,3,FALSE),"Not Found")</f>
        <v>Electronics</v>
      </c>
    </row>
    <row r="357" spans="1:10" x14ac:dyDescent="0.3">
      <c r="A357" t="s">
        <v>390</v>
      </c>
      <c r="B357" s="1">
        <v>46161</v>
      </c>
      <c r="C357" t="s">
        <v>18</v>
      </c>
      <c r="D357" t="s">
        <v>19</v>
      </c>
      <c r="E357">
        <v>16</v>
      </c>
      <c r="F357">
        <v>650</v>
      </c>
      <c r="G357" t="s">
        <v>33</v>
      </c>
      <c r="H357">
        <f t="shared" si="5"/>
        <v>10400</v>
      </c>
      <c r="I357" t="str">
        <f>IFERROR(VLOOKUP(D357,'product master'!A:C,2,FALSE),"Not Found")</f>
        <v>Wireless Mouse</v>
      </c>
      <c r="J357" t="str">
        <f>IFERROR(VLOOKUP(D357,'product master'!A:C,3,FALSE),"Not Found")</f>
        <v>Accessories</v>
      </c>
    </row>
    <row r="358" spans="1:10" x14ac:dyDescent="0.3">
      <c r="A358" t="s">
        <v>391</v>
      </c>
      <c r="B358" s="1">
        <v>46161</v>
      </c>
      <c r="C358" t="s">
        <v>25</v>
      </c>
      <c r="D358" t="s">
        <v>19</v>
      </c>
      <c r="E358">
        <v>6</v>
      </c>
      <c r="F358">
        <v>650</v>
      </c>
      <c r="G358" t="s">
        <v>26</v>
      </c>
      <c r="H358">
        <f t="shared" si="5"/>
        <v>3900</v>
      </c>
      <c r="I358" t="str">
        <f>IFERROR(VLOOKUP(D358,'product master'!A:C,2,FALSE),"Not Found")</f>
        <v>Wireless Mouse</v>
      </c>
      <c r="J358" t="str">
        <f>IFERROR(VLOOKUP(D358,'product master'!A:C,3,FALSE),"Not Found")</f>
        <v>Accessories</v>
      </c>
    </row>
    <row r="359" spans="1:10" x14ac:dyDescent="0.3">
      <c r="A359" t="s">
        <v>392</v>
      </c>
      <c r="B359" s="1">
        <v>46161</v>
      </c>
      <c r="C359" t="s">
        <v>18</v>
      </c>
      <c r="D359" t="s">
        <v>58</v>
      </c>
      <c r="E359">
        <v>11</v>
      </c>
      <c r="F359">
        <v>1200</v>
      </c>
      <c r="G359" t="s">
        <v>33</v>
      </c>
      <c r="H359">
        <f t="shared" si="5"/>
        <v>13200</v>
      </c>
      <c r="I359" t="str">
        <f>IFERROR(VLOOKUP(D359,'product master'!A:C,2,FALSE),"Not Found")</f>
        <v>Keyboard</v>
      </c>
      <c r="J359" t="str">
        <f>IFERROR(VLOOKUP(D359,'product master'!A:C,3,FALSE),"Not Found")</f>
        <v>Accessories</v>
      </c>
    </row>
    <row r="360" spans="1:10" x14ac:dyDescent="0.3">
      <c r="A360" t="s">
        <v>393</v>
      </c>
      <c r="B360" s="1">
        <v>46162</v>
      </c>
      <c r="C360" t="s">
        <v>18</v>
      </c>
      <c r="D360" t="s">
        <v>22</v>
      </c>
      <c r="E360">
        <v>30</v>
      </c>
      <c r="F360">
        <v>320</v>
      </c>
      <c r="G360" t="s">
        <v>30</v>
      </c>
      <c r="H360">
        <f t="shared" si="5"/>
        <v>9600</v>
      </c>
      <c r="I360" t="str">
        <f>IFERROR(VLOOKUP(D360,'product master'!A:C,2,FALSE),"Not Found")</f>
        <v>Notebook Pack</v>
      </c>
      <c r="J360" t="str">
        <f>IFERROR(VLOOKUP(D360,'product master'!A:C,3,FALSE),"Not Found")</f>
        <v>Stationery</v>
      </c>
    </row>
    <row r="361" spans="1:10" x14ac:dyDescent="0.3">
      <c r="A361" t="s">
        <v>394</v>
      </c>
      <c r="B361" s="1">
        <v>46162</v>
      </c>
      <c r="C361" t="s">
        <v>8</v>
      </c>
      <c r="D361" t="s">
        <v>58</v>
      </c>
      <c r="E361">
        <v>2</v>
      </c>
      <c r="F361">
        <v>1200</v>
      </c>
      <c r="G361" t="s">
        <v>10</v>
      </c>
      <c r="H361">
        <f t="shared" si="5"/>
        <v>2400</v>
      </c>
      <c r="I361" t="str">
        <f>IFERROR(VLOOKUP(D361,'product master'!A:C,2,FALSE),"Not Found")</f>
        <v>Keyboard</v>
      </c>
      <c r="J361" t="str">
        <f>IFERROR(VLOOKUP(D361,'product master'!A:C,3,FALSE),"Not Found")</f>
        <v>Accessories</v>
      </c>
    </row>
    <row r="362" spans="1:10" x14ac:dyDescent="0.3">
      <c r="A362" t="s">
        <v>395</v>
      </c>
      <c r="B362" s="1">
        <v>46162</v>
      </c>
      <c r="C362" t="s">
        <v>8</v>
      </c>
      <c r="D362" t="s">
        <v>19</v>
      </c>
      <c r="E362">
        <v>6</v>
      </c>
      <c r="F362">
        <v>650</v>
      </c>
      <c r="G362" t="s">
        <v>10</v>
      </c>
      <c r="H362">
        <f t="shared" si="5"/>
        <v>3900</v>
      </c>
      <c r="I362" t="str">
        <f>IFERROR(VLOOKUP(D362,'product master'!A:C,2,FALSE),"Not Found")</f>
        <v>Wireless Mouse</v>
      </c>
      <c r="J362" t="str">
        <f>IFERROR(VLOOKUP(D362,'product master'!A:C,3,FALSE),"Not Found")</f>
        <v>Accessories</v>
      </c>
    </row>
    <row r="363" spans="1:10" x14ac:dyDescent="0.3">
      <c r="A363" t="s">
        <v>396</v>
      </c>
      <c r="B363" s="1">
        <v>46164</v>
      </c>
      <c r="C363" t="s">
        <v>12</v>
      </c>
      <c r="D363" t="s">
        <v>22</v>
      </c>
      <c r="E363">
        <v>74</v>
      </c>
      <c r="F363">
        <v>320</v>
      </c>
      <c r="G363" t="s">
        <v>14</v>
      </c>
      <c r="H363">
        <f t="shared" si="5"/>
        <v>23680</v>
      </c>
      <c r="I363" t="str">
        <f>IFERROR(VLOOKUP(D363,'product master'!A:C,2,FALSE),"Not Found")</f>
        <v>Notebook Pack</v>
      </c>
      <c r="J363" t="str">
        <f>IFERROR(VLOOKUP(D363,'product master'!A:C,3,FALSE),"Not Found")</f>
        <v>Stationery</v>
      </c>
    </row>
    <row r="364" spans="1:10" x14ac:dyDescent="0.3">
      <c r="A364" t="s">
        <v>397</v>
      </c>
      <c r="B364" s="1">
        <v>46164</v>
      </c>
      <c r="C364" t="s">
        <v>12</v>
      </c>
      <c r="D364" t="s">
        <v>180</v>
      </c>
      <c r="E364">
        <v>4</v>
      </c>
      <c r="F364">
        <v>9500</v>
      </c>
      <c r="G364" t="s">
        <v>43</v>
      </c>
      <c r="H364">
        <f t="shared" si="5"/>
        <v>38000</v>
      </c>
      <c r="I364" t="str">
        <f>IFERROR(VLOOKUP(D364,'product master'!A:C,2,FALSE),"Not Found")</f>
        <v>Printer</v>
      </c>
      <c r="J364" t="str">
        <f>IFERROR(VLOOKUP(D364,'product master'!A:C,3,FALSE),"Not Found")</f>
        <v>Electronics</v>
      </c>
    </row>
    <row r="365" spans="1:10" x14ac:dyDescent="0.3">
      <c r="A365" t="s">
        <v>398</v>
      </c>
      <c r="B365" s="1">
        <v>46164</v>
      </c>
      <c r="C365" t="s">
        <v>12</v>
      </c>
      <c r="D365" t="s">
        <v>58</v>
      </c>
      <c r="E365">
        <v>16</v>
      </c>
      <c r="F365">
        <v>1200</v>
      </c>
      <c r="G365" t="s">
        <v>14</v>
      </c>
      <c r="H365">
        <f t="shared" si="5"/>
        <v>19200</v>
      </c>
      <c r="I365" t="str">
        <f>IFERROR(VLOOKUP(D365,'product master'!A:C,2,FALSE),"Not Found")</f>
        <v>Keyboard</v>
      </c>
      <c r="J365" t="str">
        <f>IFERROR(VLOOKUP(D365,'product master'!A:C,3,FALSE),"Not Found")</f>
        <v>Accessories</v>
      </c>
    </row>
    <row r="366" spans="1:10" x14ac:dyDescent="0.3">
      <c r="A366" t="s">
        <v>399</v>
      </c>
      <c r="B366" s="1">
        <v>46164</v>
      </c>
      <c r="C366" t="s">
        <v>25</v>
      </c>
      <c r="D366" t="s">
        <v>13</v>
      </c>
      <c r="E366">
        <v>18</v>
      </c>
      <c r="F366">
        <v>180</v>
      </c>
      <c r="G366" t="s">
        <v>39</v>
      </c>
      <c r="H366">
        <f t="shared" si="5"/>
        <v>3240</v>
      </c>
      <c r="I366" t="str">
        <f>IFERROR(VLOOKUP(D366,'product master'!A:C,2,FALSE),"Not Found")</f>
        <v>Pen Box</v>
      </c>
      <c r="J366" t="str">
        <f>IFERROR(VLOOKUP(D366,'product master'!A:C,3,FALSE),"Not Found")</f>
        <v>Stationery</v>
      </c>
    </row>
    <row r="367" spans="1:10" x14ac:dyDescent="0.3">
      <c r="A367" t="s">
        <v>400</v>
      </c>
      <c r="B367" s="1">
        <v>46165</v>
      </c>
      <c r="C367" t="s">
        <v>12</v>
      </c>
      <c r="D367" t="s">
        <v>58</v>
      </c>
      <c r="E367">
        <v>12</v>
      </c>
      <c r="F367">
        <v>1200</v>
      </c>
      <c r="G367" t="s">
        <v>14</v>
      </c>
      <c r="H367">
        <f t="shared" si="5"/>
        <v>14400</v>
      </c>
      <c r="I367" t="str">
        <f>IFERROR(VLOOKUP(D367,'product master'!A:C,2,FALSE),"Not Found")</f>
        <v>Keyboard</v>
      </c>
      <c r="J367" t="str">
        <f>IFERROR(VLOOKUP(D367,'product master'!A:C,3,FALSE),"Not Found")</f>
        <v>Accessories</v>
      </c>
    </row>
    <row r="368" spans="1:10" x14ac:dyDescent="0.3">
      <c r="A368" t="s">
        <v>401</v>
      </c>
      <c r="B368" s="1">
        <v>46165</v>
      </c>
      <c r="C368" t="s">
        <v>8</v>
      </c>
      <c r="D368" t="s">
        <v>16</v>
      </c>
      <c r="E368">
        <v>3</v>
      </c>
      <c r="F368">
        <v>45000</v>
      </c>
      <c r="G368" t="s">
        <v>23</v>
      </c>
      <c r="H368">
        <f t="shared" si="5"/>
        <v>135000</v>
      </c>
      <c r="I368" t="str">
        <f>IFERROR(VLOOKUP(D368,'product master'!A:C,2,FALSE),"Not Found")</f>
        <v>Laptop</v>
      </c>
      <c r="J368" t="str">
        <f>IFERROR(VLOOKUP(D368,'product master'!A:C,3,FALSE),"Not Found")</f>
        <v>Electronics</v>
      </c>
    </row>
    <row r="369" spans="1:10" x14ac:dyDescent="0.3">
      <c r="A369" t="s">
        <v>402</v>
      </c>
      <c r="B369" s="1">
        <v>46165</v>
      </c>
      <c r="C369" t="s">
        <v>25</v>
      </c>
      <c r="D369" t="s">
        <v>58</v>
      </c>
      <c r="E369">
        <v>15</v>
      </c>
      <c r="F369">
        <v>1200</v>
      </c>
      <c r="G369" t="s">
        <v>26</v>
      </c>
      <c r="H369">
        <f t="shared" si="5"/>
        <v>18000</v>
      </c>
      <c r="I369" t="str">
        <f>IFERROR(VLOOKUP(D369,'product master'!A:C,2,FALSE),"Not Found")</f>
        <v>Keyboard</v>
      </c>
      <c r="J369" t="str">
        <f>IFERROR(VLOOKUP(D369,'product master'!A:C,3,FALSE),"Not Found")</f>
        <v>Accessories</v>
      </c>
    </row>
    <row r="370" spans="1:10" x14ac:dyDescent="0.3">
      <c r="A370" t="s">
        <v>403</v>
      </c>
      <c r="B370" s="1">
        <v>46166</v>
      </c>
      <c r="C370" t="s">
        <v>18</v>
      </c>
      <c r="D370" t="s">
        <v>19</v>
      </c>
      <c r="E370">
        <v>9</v>
      </c>
      <c r="F370">
        <v>650</v>
      </c>
      <c r="G370" t="s">
        <v>30</v>
      </c>
      <c r="H370">
        <f t="shared" si="5"/>
        <v>5850</v>
      </c>
      <c r="I370" t="str">
        <f>IFERROR(VLOOKUP(D370,'product master'!A:C,2,FALSE),"Not Found")</f>
        <v>Wireless Mouse</v>
      </c>
      <c r="J370" t="str">
        <f>IFERROR(VLOOKUP(D370,'product master'!A:C,3,FALSE),"Not Found")</f>
        <v>Accessories</v>
      </c>
    </row>
    <row r="371" spans="1:10" x14ac:dyDescent="0.3">
      <c r="A371" t="s">
        <v>404</v>
      </c>
      <c r="B371" s="1">
        <v>46166</v>
      </c>
      <c r="C371" t="s">
        <v>12</v>
      </c>
      <c r="D371" t="s">
        <v>180</v>
      </c>
      <c r="E371">
        <v>1</v>
      </c>
      <c r="F371">
        <v>9500</v>
      </c>
      <c r="G371" t="s">
        <v>14</v>
      </c>
      <c r="H371">
        <f t="shared" si="5"/>
        <v>9500</v>
      </c>
      <c r="I371" t="str">
        <f>IFERROR(VLOOKUP(D371,'product master'!A:C,2,FALSE),"Not Found")</f>
        <v>Printer</v>
      </c>
      <c r="J371" t="str">
        <f>IFERROR(VLOOKUP(D371,'product master'!A:C,3,FALSE),"Not Found")</f>
        <v>Electronics</v>
      </c>
    </row>
    <row r="372" spans="1:10" x14ac:dyDescent="0.3">
      <c r="A372" t="s">
        <v>405</v>
      </c>
      <c r="B372" s="1">
        <v>46166</v>
      </c>
      <c r="C372" t="s">
        <v>18</v>
      </c>
      <c r="D372" t="s">
        <v>22</v>
      </c>
      <c r="E372">
        <v>54</v>
      </c>
      <c r="F372">
        <v>320</v>
      </c>
      <c r="G372" t="s">
        <v>30</v>
      </c>
      <c r="H372">
        <f t="shared" si="5"/>
        <v>17280</v>
      </c>
      <c r="I372" t="str">
        <f>IFERROR(VLOOKUP(D372,'product master'!A:C,2,FALSE),"Not Found")</f>
        <v>Notebook Pack</v>
      </c>
      <c r="J372" t="str">
        <f>IFERROR(VLOOKUP(D372,'product master'!A:C,3,FALSE),"Not Found")</f>
        <v>Stationery</v>
      </c>
    </row>
    <row r="373" spans="1:10" x14ac:dyDescent="0.3">
      <c r="A373" t="s">
        <v>406</v>
      </c>
      <c r="B373" s="1">
        <v>46166</v>
      </c>
      <c r="C373" t="s">
        <v>25</v>
      </c>
      <c r="D373" t="s">
        <v>22</v>
      </c>
      <c r="E373">
        <v>45</v>
      </c>
      <c r="F373">
        <v>320</v>
      </c>
      <c r="G373" t="s">
        <v>47</v>
      </c>
      <c r="H373">
        <f t="shared" si="5"/>
        <v>14400</v>
      </c>
      <c r="I373" t="str">
        <f>IFERROR(VLOOKUP(D373,'product master'!A:C,2,FALSE),"Not Found")</f>
        <v>Notebook Pack</v>
      </c>
      <c r="J373" t="str">
        <f>IFERROR(VLOOKUP(D373,'product master'!A:C,3,FALSE),"Not Found")</f>
        <v>Stationery</v>
      </c>
    </row>
    <row r="374" spans="1:10" x14ac:dyDescent="0.3">
      <c r="A374" t="s">
        <v>407</v>
      </c>
      <c r="B374" s="1">
        <v>46166</v>
      </c>
      <c r="C374" t="s">
        <v>8</v>
      </c>
      <c r="D374" t="s">
        <v>16</v>
      </c>
      <c r="E374">
        <v>1</v>
      </c>
      <c r="F374">
        <v>45000</v>
      </c>
      <c r="G374" t="s">
        <v>49</v>
      </c>
      <c r="H374">
        <f t="shared" si="5"/>
        <v>45000</v>
      </c>
      <c r="I374" t="str">
        <f>IFERROR(VLOOKUP(D374,'product master'!A:C,2,FALSE),"Not Found")</f>
        <v>Laptop</v>
      </c>
      <c r="J374" t="str">
        <f>IFERROR(VLOOKUP(D374,'product master'!A:C,3,FALSE),"Not Found")</f>
        <v>Electronics</v>
      </c>
    </row>
    <row r="375" spans="1:10" x14ac:dyDescent="0.3">
      <c r="A375" t="s">
        <v>408</v>
      </c>
      <c r="B375" s="1">
        <v>46166</v>
      </c>
      <c r="C375" t="s">
        <v>18</v>
      </c>
      <c r="D375" t="s">
        <v>41</v>
      </c>
      <c r="E375">
        <v>4</v>
      </c>
      <c r="F375">
        <v>9800</v>
      </c>
      <c r="G375" t="s">
        <v>30</v>
      </c>
      <c r="H375">
        <f t="shared" si="5"/>
        <v>39200</v>
      </c>
      <c r="I375" t="str">
        <f>IFERROR(VLOOKUP(D375,'product master'!A:C,2,FALSE),"Not Found")</f>
        <v>Study Desk</v>
      </c>
      <c r="J375" t="str">
        <f>IFERROR(VLOOKUP(D375,'product master'!A:C,3,FALSE),"Not Found")</f>
        <v>Furniture</v>
      </c>
    </row>
    <row r="376" spans="1:10" x14ac:dyDescent="0.3">
      <c r="A376" t="s">
        <v>409</v>
      </c>
      <c r="B376" s="1">
        <v>46167</v>
      </c>
      <c r="C376" t="s">
        <v>8</v>
      </c>
      <c r="D376" t="s">
        <v>19</v>
      </c>
      <c r="E376">
        <v>14</v>
      </c>
      <c r="F376">
        <v>650</v>
      </c>
      <c r="G376" t="s">
        <v>23</v>
      </c>
      <c r="H376">
        <f t="shared" si="5"/>
        <v>9100</v>
      </c>
      <c r="I376" t="str">
        <f>IFERROR(VLOOKUP(D376,'product master'!A:C,2,FALSE),"Not Found")</f>
        <v>Wireless Mouse</v>
      </c>
      <c r="J376" t="str">
        <f>IFERROR(VLOOKUP(D376,'product master'!A:C,3,FALSE),"Not Found")</f>
        <v>Accessories</v>
      </c>
    </row>
    <row r="377" spans="1:10" x14ac:dyDescent="0.3">
      <c r="A377" t="s">
        <v>410</v>
      </c>
      <c r="B377" s="1">
        <v>46167</v>
      </c>
      <c r="C377" t="s">
        <v>18</v>
      </c>
      <c r="D377" t="s">
        <v>22</v>
      </c>
      <c r="E377">
        <v>43</v>
      </c>
      <c r="F377">
        <v>320</v>
      </c>
      <c r="G377" t="s">
        <v>30</v>
      </c>
      <c r="H377">
        <f t="shared" si="5"/>
        <v>13760</v>
      </c>
      <c r="I377" t="str">
        <f>IFERROR(VLOOKUP(D377,'product master'!A:C,2,FALSE),"Not Found")</f>
        <v>Notebook Pack</v>
      </c>
      <c r="J377" t="str">
        <f>IFERROR(VLOOKUP(D377,'product master'!A:C,3,FALSE),"Not Found")</f>
        <v>Stationery</v>
      </c>
    </row>
    <row r="378" spans="1:10" x14ac:dyDescent="0.3">
      <c r="A378" t="s">
        <v>411</v>
      </c>
      <c r="B378" s="1">
        <v>46168</v>
      </c>
      <c r="C378" t="s">
        <v>25</v>
      </c>
      <c r="D378" t="s">
        <v>58</v>
      </c>
      <c r="E378">
        <v>10</v>
      </c>
      <c r="F378">
        <v>1200</v>
      </c>
      <c r="G378" t="s">
        <v>47</v>
      </c>
      <c r="H378">
        <f t="shared" si="5"/>
        <v>12000</v>
      </c>
      <c r="I378" t="str">
        <f>IFERROR(VLOOKUP(D378,'product master'!A:C,2,FALSE),"Not Found")</f>
        <v>Keyboard</v>
      </c>
      <c r="J378" t="str">
        <f>IFERROR(VLOOKUP(D378,'product master'!A:C,3,FALSE),"Not Found")</f>
        <v>Accessories</v>
      </c>
    </row>
    <row r="379" spans="1:10" x14ac:dyDescent="0.3">
      <c r="A379" t="s">
        <v>412</v>
      </c>
      <c r="B379" s="1">
        <v>46168</v>
      </c>
      <c r="C379" t="s">
        <v>8</v>
      </c>
      <c r="D379" t="s">
        <v>22</v>
      </c>
      <c r="E379">
        <v>75</v>
      </c>
      <c r="F379">
        <v>320</v>
      </c>
      <c r="G379" t="s">
        <v>49</v>
      </c>
      <c r="H379">
        <f t="shared" si="5"/>
        <v>24000</v>
      </c>
      <c r="I379" t="str">
        <f>IFERROR(VLOOKUP(D379,'product master'!A:C,2,FALSE),"Not Found")</f>
        <v>Notebook Pack</v>
      </c>
      <c r="J379" t="str">
        <f>IFERROR(VLOOKUP(D379,'product master'!A:C,3,FALSE),"Not Found")</f>
        <v>Stationery</v>
      </c>
    </row>
    <row r="380" spans="1:10" x14ac:dyDescent="0.3">
      <c r="A380" t="s">
        <v>413</v>
      </c>
      <c r="B380" s="1">
        <v>46170</v>
      </c>
      <c r="C380" t="s">
        <v>8</v>
      </c>
      <c r="D380" t="s">
        <v>9</v>
      </c>
      <c r="E380">
        <v>3</v>
      </c>
      <c r="F380">
        <v>7500</v>
      </c>
      <c r="G380" t="s">
        <v>10</v>
      </c>
      <c r="H380">
        <f t="shared" si="5"/>
        <v>22500</v>
      </c>
      <c r="I380" t="str">
        <f>IFERROR(VLOOKUP(D380,'product master'!A:C,2,FALSE),"Not Found")</f>
        <v>Office Chair</v>
      </c>
      <c r="J380" t="str">
        <f>IFERROR(VLOOKUP(D380,'product master'!A:C,3,FALSE),"Not Found")</f>
        <v>Furniture</v>
      </c>
    </row>
    <row r="381" spans="1:10" x14ac:dyDescent="0.3">
      <c r="A381" t="s">
        <v>414</v>
      </c>
      <c r="B381" s="1">
        <v>46170</v>
      </c>
      <c r="C381" t="s">
        <v>18</v>
      </c>
      <c r="D381" t="s">
        <v>19</v>
      </c>
      <c r="E381">
        <v>18</v>
      </c>
      <c r="F381">
        <v>650</v>
      </c>
      <c r="G381" t="s">
        <v>20</v>
      </c>
      <c r="H381">
        <f t="shared" si="5"/>
        <v>11700</v>
      </c>
      <c r="I381" t="str">
        <f>IFERROR(VLOOKUP(D381,'product master'!A:C,2,FALSE),"Not Found")</f>
        <v>Wireless Mouse</v>
      </c>
      <c r="J381" t="str">
        <f>IFERROR(VLOOKUP(D381,'product master'!A:C,3,FALSE),"Not Found")</f>
        <v>Accessories</v>
      </c>
    </row>
    <row r="382" spans="1:10" x14ac:dyDescent="0.3">
      <c r="A382" t="s">
        <v>415</v>
      </c>
      <c r="B382" s="1">
        <v>46170</v>
      </c>
      <c r="C382" t="s">
        <v>8</v>
      </c>
      <c r="D382" t="s">
        <v>51</v>
      </c>
      <c r="E382">
        <v>6</v>
      </c>
      <c r="F382">
        <v>2200</v>
      </c>
      <c r="G382" t="s">
        <v>23</v>
      </c>
      <c r="H382">
        <f t="shared" si="5"/>
        <v>13200</v>
      </c>
      <c r="I382" t="str">
        <f>IFERROR(VLOOKUP(D382,'product master'!A:C,2,FALSE),"Not Found")</f>
        <v>Headphones</v>
      </c>
      <c r="J382" t="str">
        <f>IFERROR(VLOOKUP(D382,'product master'!A:C,3,FALSE),"Not Found")</f>
        <v>Accessories</v>
      </c>
    </row>
    <row r="383" spans="1:10" x14ac:dyDescent="0.3">
      <c r="A383" t="s">
        <v>416</v>
      </c>
      <c r="B383" s="1">
        <v>46170</v>
      </c>
      <c r="C383" t="s">
        <v>8</v>
      </c>
      <c r="D383" t="s">
        <v>16</v>
      </c>
      <c r="E383">
        <v>3</v>
      </c>
      <c r="F383">
        <v>45000</v>
      </c>
      <c r="G383" t="s">
        <v>23</v>
      </c>
      <c r="H383">
        <f t="shared" si="5"/>
        <v>135000</v>
      </c>
      <c r="I383" t="str">
        <f>IFERROR(VLOOKUP(D383,'product master'!A:C,2,FALSE),"Not Found")</f>
        <v>Laptop</v>
      </c>
      <c r="J383" t="str">
        <f>IFERROR(VLOOKUP(D383,'product master'!A:C,3,FALSE),"Not Found")</f>
        <v>Electronics</v>
      </c>
    </row>
    <row r="384" spans="1:10" x14ac:dyDescent="0.3">
      <c r="A384" t="s">
        <v>417</v>
      </c>
      <c r="B384" s="1">
        <v>46170</v>
      </c>
      <c r="C384" t="s">
        <v>12</v>
      </c>
      <c r="D384" t="s">
        <v>13</v>
      </c>
      <c r="E384">
        <v>53</v>
      </c>
      <c r="F384">
        <v>180</v>
      </c>
      <c r="G384" t="s">
        <v>28</v>
      </c>
      <c r="H384">
        <f t="shared" si="5"/>
        <v>9540</v>
      </c>
      <c r="I384" t="str">
        <f>IFERROR(VLOOKUP(D384,'product master'!A:C,2,FALSE),"Not Found")</f>
        <v>Pen Box</v>
      </c>
      <c r="J384" t="str">
        <f>IFERROR(VLOOKUP(D384,'product master'!A:C,3,FALSE),"Not Found")</f>
        <v>Stationery</v>
      </c>
    </row>
    <row r="385" spans="1:10" x14ac:dyDescent="0.3">
      <c r="A385" t="s">
        <v>418</v>
      </c>
      <c r="B385" s="1">
        <v>46172</v>
      </c>
      <c r="C385" t="s">
        <v>18</v>
      </c>
      <c r="D385" t="s">
        <v>16</v>
      </c>
      <c r="E385">
        <v>4</v>
      </c>
      <c r="F385">
        <v>45000</v>
      </c>
      <c r="G385" t="s">
        <v>20</v>
      </c>
      <c r="H385">
        <f t="shared" si="5"/>
        <v>180000</v>
      </c>
      <c r="I385" t="str">
        <f>IFERROR(VLOOKUP(D385,'product master'!A:C,2,FALSE),"Not Found")</f>
        <v>Laptop</v>
      </c>
      <c r="J385" t="str">
        <f>IFERROR(VLOOKUP(D385,'product master'!A:C,3,FALSE),"Not Found")</f>
        <v>Electronics</v>
      </c>
    </row>
    <row r="386" spans="1:10" x14ac:dyDescent="0.3">
      <c r="A386" t="s">
        <v>419</v>
      </c>
      <c r="B386" s="1">
        <v>46172</v>
      </c>
      <c r="C386" t="s">
        <v>8</v>
      </c>
      <c r="D386" t="s">
        <v>58</v>
      </c>
      <c r="E386">
        <v>20</v>
      </c>
      <c r="F386">
        <v>1200</v>
      </c>
      <c r="G386" t="s">
        <v>49</v>
      </c>
      <c r="H386">
        <f t="shared" ref="H386:H449" si="6">E386*F386</f>
        <v>24000</v>
      </c>
      <c r="I386" t="str">
        <f>IFERROR(VLOOKUP(D386,'product master'!A:C,2,FALSE),"Not Found")</f>
        <v>Keyboard</v>
      </c>
      <c r="J386" t="str">
        <f>IFERROR(VLOOKUP(D386,'product master'!A:C,3,FALSE),"Not Found")</f>
        <v>Accessories</v>
      </c>
    </row>
    <row r="387" spans="1:10" x14ac:dyDescent="0.3">
      <c r="A387" t="s">
        <v>420</v>
      </c>
      <c r="B387" s="1">
        <v>46172</v>
      </c>
      <c r="C387" t="s">
        <v>18</v>
      </c>
      <c r="D387" t="s">
        <v>22</v>
      </c>
      <c r="E387">
        <v>80</v>
      </c>
      <c r="F387">
        <v>320</v>
      </c>
      <c r="G387" t="s">
        <v>33</v>
      </c>
      <c r="H387">
        <f t="shared" si="6"/>
        <v>25600</v>
      </c>
      <c r="I387" t="str">
        <f>IFERROR(VLOOKUP(D387,'product master'!A:C,2,FALSE),"Not Found")</f>
        <v>Notebook Pack</v>
      </c>
      <c r="J387" t="str">
        <f>IFERROR(VLOOKUP(D387,'product master'!A:C,3,FALSE),"Not Found")</f>
        <v>Stationery</v>
      </c>
    </row>
    <row r="388" spans="1:10" x14ac:dyDescent="0.3">
      <c r="A388" t="s">
        <v>421</v>
      </c>
      <c r="B388" s="1">
        <v>46172</v>
      </c>
      <c r="C388" t="s">
        <v>18</v>
      </c>
      <c r="D388" t="s">
        <v>58</v>
      </c>
      <c r="E388">
        <v>6</v>
      </c>
      <c r="F388">
        <v>1200</v>
      </c>
      <c r="G388" t="s">
        <v>33</v>
      </c>
      <c r="H388">
        <f t="shared" si="6"/>
        <v>7200</v>
      </c>
      <c r="I388" t="str">
        <f>IFERROR(VLOOKUP(D388,'product master'!A:C,2,FALSE),"Not Found")</f>
        <v>Keyboard</v>
      </c>
      <c r="J388" t="str">
        <f>IFERROR(VLOOKUP(D388,'product master'!A:C,3,FALSE),"Not Found")</f>
        <v>Accessories</v>
      </c>
    </row>
    <row r="389" spans="1:10" x14ac:dyDescent="0.3">
      <c r="A389" t="s">
        <v>422</v>
      </c>
      <c r="B389" s="1">
        <v>46172</v>
      </c>
      <c r="C389" t="s">
        <v>25</v>
      </c>
      <c r="D389" t="s">
        <v>19</v>
      </c>
      <c r="E389">
        <v>2</v>
      </c>
      <c r="F389">
        <v>650</v>
      </c>
      <c r="G389" t="s">
        <v>47</v>
      </c>
      <c r="H389">
        <f t="shared" si="6"/>
        <v>1300</v>
      </c>
      <c r="I389" t="str">
        <f>IFERROR(VLOOKUP(D389,'product master'!A:C,2,FALSE),"Not Found")</f>
        <v>Wireless Mouse</v>
      </c>
      <c r="J389" t="str">
        <f>IFERROR(VLOOKUP(D389,'product master'!A:C,3,FALSE),"Not Found")</f>
        <v>Accessories</v>
      </c>
    </row>
    <row r="390" spans="1:10" x14ac:dyDescent="0.3">
      <c r="A390" t="s">
        <v>423</v>
      </c>
      <c r="B390" s="1">
        <v>46172</v>
      </c>
      <c r="C390" t="s">
        <v>8</v>
      </c>
      <c r="D390" t="s">
        <v>58</v>
      </c>
      <c r="E390">
        <v>15</v>
      </c>
      <c r="F390">
        <v>1200</v>
      </c>
      <c r="G390" t="s">
        <v>10</v>
      </c>
      <c r="H390">
        <f t="shared" si="6"/>
        <v>18000</v>
      </c>
      <c r="I390" t="str">
        <f>IFERROR(VLOOKUP(D390,'product master'!A:C,2,FALSE),"Not Found")</f>
        <v>Keyboard</v>
      </c>
      <c r="J390" t="str">
        <f>IFERROR(VLOOKUP(D390,'product master'!A:C,3,FALSE),"Not Found")</f>
        <v>Accessories</v>
      </c>
    </row>
    <row r="391" spans="1:10" x14ac:dyDescent="0.3">
      <c r="A391" t="s">
        <v>424</v>
      </c>
      <c r="B391" s="1">
        <v>46172</v>
      </c>
      <c r="C391" t="s">
        <v>18</v>
      </c>
      <c r="D391" t="s">
        <v>58</v>
      </c>
      <c r="E391">
        <v>16</v>
      </c>
      <c r="F391">
        <v>1200</v>
      </c>
      <c r="G391" t="s">
        <v>33</v>
      </c>
      <c r="H391">
        <f t="shared" si="6"/>
        <v>19200</v>
      </c>
      <c r="I391" t="str">
        <f>IFERROR(VLOOKUP(D391,'product master'!A:C,2,FALSE),"Not Found")</f>
        <v>Keyboard</v>
      </c>
      <c r="J391" t="str">
        <f>IFERROR(VLOOKUP(D391,'product master'!A:C,3,FALSE),"Not Found")</f>
        <v>Accessories</v>
      </c>
    </row>
    <row r="392" spans="1:10" x14ac:dyDescent="0.3">
      <c r="A392" t="s">
        <v>425</v>
      </c>
      <c r="B392" s="1">
        <v>46173</v>
      </c>
      <c r="C392" t="s">
        <v>8</v>
      </c>
      <c r="D392" t="s">
        <v>13</v>
      </c>
      <c r="E392">
        <v>17</v>
      </c>
      <c r="F392">
        <v>180</v>
      </c>
      <c r="G392" t="s">
        <v>10</v>
      </c>
      <c r="H392">
        <f t="shared" si="6"/>
        <v>3060</v>
      </c>
      <c r="I392" t="str">
        <f>IFERROR(VLOOKUP(D392,'product master'!A:C,2,FALSE),"Not Found")</f>
        <v>Pen Box</v>
      </c>
      <c r="J392" t="str">
        <f>IFERROR(VLOOKUP(D392,'product master'!A:C,3,FALSE),"Not Found")</f>
        <v>Stationery</v>
      </c>
    </row>
    <row r="393" spans="1:10" x14ac:dyDescent="0.3">
      <c r="A393" t="s">
        <v>426</v>
      </c>
      <c r="B393" s="1">
        <v>46173</v>
      </c>
      <c r="C393" t="s">
        <v>8</v>
      </c>
      <c r="D393" t="s">
        <v>9</v>
      </c>
      <c r="E393">
        <v>4</v>
      </c>
      <c r="F393">
        <v>7500</v>
      </c>
      <c r="G393" t="s">
        <v>10</v>
      </c>
      <c r="H393">
        <f t="shared" si="6"/>
        <v>30000</v>
      </c>
      <c r="I393" t="str">
        <f>IFERROR(VLOOKUP(D393,'product master'!A:C,2,FALSE),"Not Found")</f>
        <v>Office Chair</v>
      </c>
      <c r="J393" t="str">
        <f>IFERROR(VLOOKUP(D393,'product master'!A:C,3,FALSE),"Not Found")</f>
        <v>Furniture</v>
      </c>
    </row>
    <row r="394" spans="1:10" x14ac:dyDescent="0.3">
      <c r="A394" t="s">
        <v>427</v>
      </c>
      <c r="B394" s="1">
        <v>46173</v>
      </c>
      <c r="C394" t="s">
        <v>18</v>
      </c>
      <c r="D394" t="s">
        <v>13</v>
      </c>
      <c r="E394">
        <v>40</v>
      </c>
      <c r="F394">
        <v>180</v>
      </c>
      <c r="G394" t="s">
        <v>33</v>
      </c>
      <c r="H394">
        <f t="shared" si="6"/>
        <v>7200</v>
      </c>
      <c r="I394" t="str">
        <f>IFERROR(VLOOKUP(D394,'product master'!A:C,2,FALSE),"Not Found")</f>
        <v>Pen Box</v>
      </c>
      <c r="J394" t="str">
        <f>IFERROR(VLOOKUP(D394,'product master'!A:C,3,FALSE),"Not Found")</f>
        <v>Stationery</v>
      </c>
    </row>
    <row r="395" spans="1:10" x14ac:dyDescent="0.3">
      <c r="A395" t="s">
        <v>428</v>
      </c>
      <c r="B395" s="1">
        <v>46173</v>
      </c>
      <c r="C395" t="s">
        <v>12</v>
      </c>
      <c r="D395" t="s">
        <v>19</v>
      </c>
      <c r="E395">
        <v>3</v>
      </c>
      <c r="F395">
        <v>650</v>
      </c>
      <c r="G395" t="s">
        <v>14</v>
      </c>
      <c r="H395">
        <f t="shared" si="6"/>
        <v>1950</v>
      </c>
      <c r="I395" t="str">
        <f>IFERROR(VLOOKUP(D395,'product master'!A:C,2,FALSE),"Not Found")</f>
        <v>Wireless Mouse</v>
      </c>
      <c r="J395" t="str">
        <f>IFERROR(VLOOKUP(D395,'product master'!A:C,3,FALSE),"Not Found")</f>
        <v>Accessories</v>
      </c>
    </row>
    <row r="396" spans="1:10" x14ac:dyDescent="0.3">
      <c r="A396" t="s">
        <v>429</v>
      </c>
      <c r="B396" s="1">
        <v>46173</v>
      </c>
      <c r="C396" t="s">
        <v>25</v>
      </c>
      <c r="D396" t="s">
        <v>13</v>
      </c>
      <c r="E396">
        <v>66</v>
      </c>
      <c r="F396">
        <v>180</v>
      </c>
      <c r="G396" t="s">
        <v>26</v>
      </c>
      <c r="H396">
        <f t="shared" si="6"/>
        <v>11880</v>
      </c>
      <c r="I396" t="str">
        <f>IFERROR(VLOOKUP(D396,'product master'!A:C,2,FALSE),"Not Found")</f>
        <v>Pen Box</v>
      </c>
      <c r="J396" t="str">
        <f>IFERROR(VLOOKUP(D396,'product master'!A:C,3,FALSE),"Not Found")</f>
        <v>Stationery</v>
      </c>
    </row>
    <row r="397" spans="1:10" x14ac:dyDescent="0.3">
      <c r="A397" t="s">
        <v>430</v>
      </c>
      <c r="B397" s="1">
        <v>46173</v>
      </c>
      <c r="C397" t="s">
        <v>12</v>
      </c>
      <c r="D397" t="s">
        <v>9</v>
      </c>
      <c r="E397">
        <v>4</v>
      </c>
      <c r="F397">
        <v>7500</v>
      </c>
      <c r="G397" t="s">
        <v>43</v>
      </c>
      <c r="H397">
        <f t="shared" si="6"/>
        <v>30000</v>
      </c>
      <c r="I397" t="str">
        <f>IFERROR(VLOOKUP(D397,'product master'!A:C,2,FALSE),"Not Found")</f>
        <v>Office Chair</v>
      </c>
      <c r="J397" t="str">
        <f>IFERROR(VLOOKUP(D397,'product master'!A:C,3,FALSE),"Not Found")</f>
        <v>Furniture</v>
      </c>
    </row>
    <row r="398" spans="1:10" x14ac:dyDescent="0.3">
      <c r="A398" t="s">
        <v>431</v>
      </c>
      <c r="B398" s="1">
        <v>46174</v>
      </c>
      <c r="C398" t="s">
        <v>12</v>
      </c>
      <c r="D398" t="s">
        <v>19</v>
      </c>
      <c r="E398">
        <v>20</v>
      </c>
      <c r="F398">
        <v>650</v>
      </c>
      <c r="G398" t="s">
        <v>14</v>
      </c>
      <c r="H398">
        <f t="shared" si="6"/>
        <v>13000</v>
      </c>
      <c r="I398" t="str">
        <f>IFERROR(VLOOKUP(D398,'product master'!A:C,2,FALSE),"Not Found")</f>
        <v>Wireless Mouse</v>
      </c>
      <c r="J398" t="str">
        <f>IFERROR(VLOOKUP(D398,'product master'!A:C,3,FALSE),"Not Found")</f>
        <v>Accessories</v>
      </c>
    </row>
    <row r="399" spans="1:10" x14ac:dyDescent="0.3">
      <c r="A399" t="s">
        <v>432</v>
      </c>
      <c r="B399" s="1">
        <v>46174</v>
      </c>
      <c r="C399" t="s">
        <v>8</v>
      </c>
      <c r="D399" t="s">
        <v>13</v>
      </c>
      <c r="E399">
        <v>76</v>
      </c>
      <c r="F399">
        <v>180</v>
      </c>
      <c r="G399" t="s">
        <v>10</v>
      </c>
      <c r="H399">
        <f t="shared" si="6"/>
        <v>13680</v>
      </c>
      <c r="I399" t="str">
        <f>IFERROR(VLOOKUP(D399,'product master'!A:C,2,FALSE),"Not Found")</f>
        <v>Pen Box</v>
      </c>
      <c r="J399" t="str">
        <f>IFERROR(VLOOKUP(D399,'product master'!A:C,3,FALSE),"Not Found")</f>
        <v>Stationery</v>
      </c>
    </row>
    <row r="400" spans="1:10" x14ac:dyDescent="0.3">
      <c r="A400" t="s">
        <v>433</v>
      </c>
      <c r="B400" s="1">
        <v>46174</v>
      </c>
      <c r="C400" t="s">
        <v>25</v>
      </c>
      <c r="D400" t="s">
        <v>58</v>
      </c>
      <c r="E400">
        <v>3</v>
      </c>
      <c r="F400">
        <v>1200</v>
      </c>
      <c r="G400" t="s">
        <v>39</v>
      </c>
      <c r="H400">
        <f t="shared" si="6"/>
        <v>3600</v>
      </c>
      <c r="I400" t="str">
        <f>IFERROR(VLOOKUP(D400,'product master'!A:C,2,FALSE),"Not Found")</f>
        <v>Keyboard</v>
      </c>
      <c r="J400" t="str">
        <f>IFERROR(VLOOKUP(D400,'product master'!A:C,3,FALSE),"Not Found")</f>
        <v>Accessories</v>
      </c>
    </row>
    <row r="401" spans="1:10" x14ac:dyDescent="0.3">
      <c r="A401" t="s">
        <v>434</v>
      </c>
      <c r="B401" s="1">
        <v>46174</v>
      </c>
      <c r="C401" t="s">
        <v>8</v>
      </c>
      <c r="D401" t="s">
        <v>58</v>
      </c>
      <c r="E401">
        <v>14</v>
      </c>
      <c r="F401">
        <v>1200</v>
      </c>
      <c r="G401" t="s">
        <v>23</v>
      </c>
      <c r="H401">
        <f t="shared" si="6"/>
        <v>16800</v>
      </c>
      <c r="I401" t="str">
        <f>IFERROR(VLOOKUP(D401,'product master'!A:C,2,FALSE),"Not Found")</f>
        <v>Keyboard</v>
      </c>
      <c r="J401" t="str">
        <f>IFERROR(VLOOKUP(D401,'product master'!A:C,3,FALSE),"Not Found")</f>
        <v>Accessories</v>
      </c>
    </row>
    <row r="402" spans="1:10" x14ac:dyDescent="0.3">
      <c r="A402" t="s">
        <v>435</v>
      </c>
      <c r="B402" s="1">
        <v>46174</v>
      </c>
      <c r="C402" t="s">
        <v>18</v>
      </c>
      <c r="D402" t="s">
        <v>9</v>
      </c>
      <c r="E402">
        <v>2</v>
      </c>
      <c r="F402">
        <v>7500</v>
      </c>
      <c r="G402" t="s">
        <v>33</v>
      </c>
      <c r="H402">
        <f t="shared" si="6"/>
        <v>15000</v>
      </c>
      <c r="I402" t="str">
        <f>IFERROR(VLOOKUP(D402,'product master'!A:C,2,FALSE),"Not Found")</f>
        <v>Office Chair</v>
      </c>
      <c r="J402" t="str">
        <f>IFERROR(VLOOKUP(D402,'product master'!A:C,3,FALSE),"Not Found")</f>
        <v>Furniture</v>
      </c>
    </row>
    <row r="403" spans="1:10" x14ac:dyDescent="0.3">
      <c r="A403" t="s">
        <v>436</v>
      </c>
      <c r="B403" s="1">
        <v>46175</v>
      </c>
      <c r="C403" t="s">
        <v>25</v>
      </c>
      <c r="D403" t="s">
        <v>16</v>
      </c>
      <c r="E403">
        <v>5</v>
      </c>
      <c r="F403">
        <v>45000</v>
      </c>
      <c r="G403" t="s">
        <v>47</v>
      </c>
      <c r="H403">
        <f t="shared" si="6"/>
        <v>225000</v>
      </c>
      <c r="I403" t="str">
        <f>IFERROR(VLOOKUP(D403,'product master'!A:C,2,FALSE),"Not Found")</f>
        <v>Laptop</v>
      </c>
      <c r="J403" t="str">
        <f>IFERROR(VLOOKUP(D403,'product master'!A:C,3,FALSE),"Not Found")</f>
        <v>Electronics</v>
      </c>
    </row>
    <row r="404" spans="1:10" x14ac:dyDescent="0.3">
      <c r="A404" t="s">
        <v>437</v>
      </c>
      <c r="B404" s="1">
        <v>46176</v>
      </c>
      <c r="C404" t="s">
        <v>25</v>
      </c>
      <c r="D404" t="s">
        <v>51</v>
      </c>
      <c r="E404">
        <v>8</v>
      </c>
      <c r="F404">
        <v>2200</v>
      </c>
      <c r="G404" t="s">
        <v>26</v>
      </c>
      <c r="H404">
        <f t="shared" si="6"/>
        <v>17600</v>
      </c>
      <c r="I404" t="str">
        <f>IFERROR(VLOOKUP(D404,'product master'!A:C,2,FALSE),"Not Found")</f>
        <v>Headphones</v>
      </c>
      <c r="J404" t="str">
        <f>IFERROR(VLOOKUP(D404,'product master'!A:C,3,FALSE),"Not Found")</f>
        <v>Accessories</v>
      </c>
    </row>
    <row r="405" spans="1:10" x14ac:dyDescent="0.3">
      <c r="A405" t="s">
        <v>438</v>
      </c>
      <c r="B405" s="1">
        <v>46176</v>
      </c>
      <c r="C405" t="s">
        <v>25</v>
      </c>
      <c r="D405" t="s">
        <v>16</v>
      </c>
      <c r="E405">
        <v>3</v>
      </c>
      <c r="F405">
        <v>45000</v>
      </c>
      <c r="G405" t="s">
        <v>47</v>
      </c>
      <c r="H405">
        <f t="shared" si="6"/>
        <v>135000</v>
      </c>
      <c r="I405" t="str">
        <f>IFERROR(VLOOKUP(D405,'product master'!A:C,2,FALSE),"Not Found")</f>
        <v>Laptop</v>
      </c>
      <c r="J405" t="str">
        <f>IFERROR(VLOOKUP(D405,'product master'!A:C,3,FALSE),"Not Found")</f>
        <v>Electronics</v>
      </c>
    </row>
    <row r="406" spans="1:10" x14ac:dyDescent="0.3">
      <c r="A406" t="s">
        <v>439</v>
      </c>
      <c r="B406" s="1">
        <v>46176</v>
      </c>
      <c r="C406" t="s">
        <v>25</v>
      </c>
      <c r="D406" t="s">
        <v>19</v>
      </c>
      <c r="E406">
        <v>14</v>
      </c>
      <c r="F406">
        <v>650</v>
      </c>
      <c r="G406" t="s">
        <v>26</v>
      </c>
      <c r="H406">
        <f t="shared" si="6"/>
        <v>9100</v>
      </c>
      <c r="I406" t="str">
        <f>IFERROR(VLOOKUP(D406,'product master'!A:C,2,FALSE),"Not Found")</f>
        <v>Wireless Mouse</v>
      </c>
      <c r="J406" t="str">
        <f>IFERROR(VLOOKUP(D406,'product master'!A:C,3,FALSE),"Not Found")</f>
        <v>Accessories</v>
      </c>
    </row>
    <row r="407" spans="1:10" x14ac:dyDescent="0.3">
      <c r="A407" t="s">
        <v>440</v>
      </c>
      <c r="B407" s="1">
        <v>46176</v>
      </c>
      <c r="C407" t="s">
        <v>25</v>
      </c>
      <c r="D407" t="s">
        <v>19</v>
      </c>
      <c r="E407">
        <v>8</v>
      </c>
      <c r="F407">
        <v>650</v>
      </c>
      <c r="G407" t="s">
        <v>26</v>
      </c>
      <c r="H407">
        <f t="shared" si="6"/>
        <v>5200</v>
      </c>
      <c r="I407" t="str">
        <f>IFERROR(VLOOKUP(D407,'product master'!A:C,2,FALSE),"Not Found")</f>
        <v>Wireless Mouse</v>
      </c>
      <c r="J407" t="str">
        <f>IFERROR(VLOOKUP(D407,'product master'!A:C,3,FALSE),"Not Found")</f>
        <v>Accessories</v>
      </c>
    </row>
    <row r="408" spans="1:10" x14ac:dyDescent="0.3">
      <c r="A408" t="s">
        <v>441</v>
      </c>
      <c r="B408" s="1">
        <v>46176</v>
      </c>
      <c r="C408" t="s">
        <v>18</v>
      </c>
      <c r="D408" t="s">
        <v>19</v>
      </c>
      <c r="E408">
        <v>6</v>
      </c>
      <c r="F408">
        <v>650</v>
      </c>
      <c r="G408" t="s">
        <v>33</v>
      </c>
      <c r="H408">
        <f t="shared" si="6"/>
        <v>3900</v>
      </c>
      <c r="I408" t="str">
        <f>IFERROR(VLOOKUP(D408,'product master'!A:C,2,FALSE),"Not Found")</f>
        <v>Wireless Mouse</v>
      </c>
      <c r="J408" t="str">
        <f>IFERROR(VLOOKUP(D408,'product master'!A:C,3,FALSE),"Not Found")</f>
        <v>Accessories</v>
      </c>
    </row>
    <row r="409" spans="1:10" x14ac:dyDescent="0.3">
      <c r="A409" t="s">
        <v>442</v>
      </c>
      <c r="B409" s="1">
        <v>46177</v>
      </c>
      <c r="C409" t="s">
        <v>8</v>
      </c>
      <c r="D409" t="s">
        <v>58</v>
      </c>
      <c r="E409">
        <v>8</v>
      </c>
      <c r="F409">
        <v>1200</v>
      </c>
      <c r="G409" t="s">
        <v>23</v>
      </c>
      <c r="H409">
        <f t="shared" si="6"/>
        <v>9600</v>
      </c>
      <c r="I409" t="str">
        <f>IFERROR(VLOOKUP(D409,'product master'!A:C,2,FALSE),"Not Found")</f>
        <v>Keyboard</v>
      </c>
      <c r="J409" t="str">
        <f>IFERROR(VLOOKUP(D409,'product master'!A:C,3,FALSE),"Not Found")</f>
        <v>Accessories</v>
      </c>
    </row>
    <row r="410" spans="1:10" x14ac:dyDescent="0.3">
      <c r="A410" t="s">
        <v>443</v>
      </c>
      <c r="B410" s="1">
        <v>46177</v>
      </c>
      <c r="C410" t="s">
        <v>12</v>
      </c>
      <c r="D410" t="s">
        <v>51</v>
      </c>
      <c r="E410">
        <v>2</v>
      </c>
      <c r="F410">
        <v>2200</v>
      </c>
      <c r="G410" t="s">
        <v>14</v>
      </c>
      <c r="H410">
        <f t="shared" si="6"/>
        <v>4400</v>
      </c>
      <c r="I410" t="str">
        <f>IFERROR(VLOOKUP(D410,'product master'!A:C,2,FALSE),"Not Found")</f>
        <v>Headphones</v>
      </c>
      <c r="J410" t="str">
        <f>IFERROR(VLOOKUP(D410,'product master'!A:C,3,FALSE),"Not Found")</f>
        <v>Accessories</v>
      </c>
    </row>
    <row r="411" spans="1:10" x14ac:dyDescent="0.3">
      <c r="A411" t="s">
        <v>444</v>
      </c>
      <c r="B411" s="1">
        <v>46178</v>
      </c>
      <c r="C411" t="s">
        <v>18</v>
      </c>
      <c r="D411" t="s">
        <v>58</v>
      </c>
      <c r="E411">
        <v>12</v>
      </c>
      <c r="F411">
        <v>1200</v>
      </c>
      <c r="G411" t="s">
        <v>30</v>
      </c>
      <c r="H411">
        <f t="shared" si="6"/>
        <v>14400</v>
      </c>
      <c r="I411" t="str">
        <f>IFERROR(VLOOKUP(D411,'product master'!A:C,2,FALSE),"Not Found")</f>
        <v>Keyboard</v>
      </c>
      <c r="J411" t="str">
        <f>IFERROR(VLOOKUP(D411,'product master'!A:C,3,FALSE),"Not Found")</f>
        <v>Accessories</v>
      </c>
    </row>
    <row r="412" spans="1:10" x14ac:dyDescent="0.3">
      <c r="A412" t="s">
        <v>445</v>
      </c>
      <c r="B412" s="1">
        <v>46178</v>
      </c>
      <c r="C412" t="s">
        <v>18</v>
      </c>
      <c r="D412" t="s">
        <v>36</v>
      </c>
      <c r="E412">
        <v>2</v>
      </c>
      <c r="F412">
        <v>12000</v>
      </c>
      <c r="G412" t="s">
        <v>33</v>
      </c>
      <c r="H412">
        <f t="shared" si="6"/>
        <v>24000</v>
      </c>
      <c r="I412" t="str">
        <f>IFERROR(VLOOKUP(D412,'product master'!A:C,2,FALSE),"Not Found")</f>
        <v>Monitor</v>
      </c>
      <c r="J412" t="str">
        <f>IFERROR(VLOOKUP(D412,'product master'!A:C,3,FALSE),"Not Found")</f>
        <v>Electronics</v>
      </c>
    </row>
    <row r="413" spans="1:10" x14ac:dyDescent="0.3">
      <c r="A413" t="s">
        <v>446</v>
      </c>
      <c r="B413" s="1">
        <v>46178</v>
      </c>
      <c r="C413" t="s">
        <v>8</v>
      </c>
      <c r="D413" t="s">
        <v>19</v>
      </c>
      <c r="E413">
        <v>5</v>
      </c>
      <c r="F413">
        <v>650</v>
      </c>
      <c r="G413" t="s">
        <v>49</v>
      </c>
      <c r="H413">
        <f t="shared" si="6"/>
        <v>3250</v>
      </c>
      <c r="I413" t="str">
        <f>IFERROR(VLOOKUP(D413,'product master'!A:C,2,FALSE),"Not Found")</f>
        <v>Wireless Mouse</v>
      </c>
      <c r="J413" t="str">
        <f>IFERROR(VLOOKUP(D413,'product master'!A:C,3,FALSE),"Not Found")</f>
        <v>Accessories</v>
      </c>
    </row>
    <row r="414" spans="1:10" x14ac:dyDescent="0.3">
      <c r="A414" t="s">
        <v>447</v>
      </c>
      <c r="B414" s="1">
        <v>46178</v>
      </c>
      <c r="C414" t="s">
        <v>8</v>
      </c>
      <c r="D414" t="s">
        <v>22</v>
      </c>
      <c r="E414">
        <v>30</v>
      </c>
      <c r="F414">
        <v>320</v>
      </c>
      <c r="G414" t="s">
        <v>23</v>
      </c>
      <c r="H414">
        <f t="shared" si="6"/>
        <v>9600</v>
      </c>
      <c r="I414" t="str">
        <f>IFERROR(VLOOKUP(D414,'product master'!A:C,2,FALSE),"Not Found")</f>
        <v>Notebook Pack</v>
      </c>
      <c r="J414" t="str">
        <f>IFERROR(VLOOKUP(D414,'product master'!A:C,3,FALSE),"Not Found")</f>
        <v>Stationery</v>
      </c>
    </row>
    <row r="415" spans="1:10" x14ac:dyDescent="0.3">
      <c r="A415" t="s">
        <v>448</v>
      </c>
      <c r="B415" s="1">
        <v>46179</v>
      </c>
      <c r="C415" t="s">
        <v>25</v>
      </c>
      <c r="D415" t="s">
        <v>36</v>
      </c>
      <c r="E415">
        <v>1</v>
      </c>
      <c r="F415">
        <v>12000</v>
      </c>
      <c r="G415" t="s">
        <v>39</v>
      </c>
      <c r="H415">
        <f t="shared" si="6"/>
        <v>12000</v>
      </c>
      <c r="I415" t="str">
        <f>IFERROR(VLOOKUP(D415,'product master'!A:C,2,FALSE),"Not Found")</f>
        <v>Monitor</v>
      </c>
      <c r="J415" t="str">
        <f>IFERROR(VLOOKUP(D415,'product master'!A:C,3,FALSE),"Not Found")</f>
        <v>Electronics</v>
      </c>
    </row>
    <row r="416" spans="1:10" x14ac:dyDescent="0.3">
      <c r="A416" t="s">
        <v>449</v>
      </c>
      <c r="B416" s="1">
        <v>46179</v>
      </c>
      <c r="C416" t="s">
        <v>12</v>
      </c>
      <c r="D416" t="s">
        <v>51</v>
      </c>
      <c r="E416">
        <v>16</v>
      </c>
      <c r="F416">
        <v>2200</v>
      </c>
      <c r="G416" t="s">
        <v>14</v>
      </c>
      <c r="H416">
        <f t="shared" si="6"/>
        <v>35200</v>
      </c>
      <c r="I416" t="str">
        <f>IFERROR(VLOOKUP(D416,'product master'!A:C,2,FALSE),"Not Found")</f>
        <v>Headphones</v>
      </c>
      <c r="J416" t="str">
        <f>IFERROR(VLOOKUP(D416,'product master'!A:C,3,FALSE),"Not Found")</f>
        <v>Accessories</v>
      </c>
    </row>
    <row r="417" spans="1:10" x14ac:dyDescent="0.3">
      <c r="A417" t="s">
        <v>450</v>
      </c>
      <c r="B417" s="1">
        <v>46179</v>
      </c>
      <c r="C417" t="s">
        <v>18</v>
      </c>
      <c r="D417" t="s">
        <v>36</v>
      </c>
      <c r="E417">
        <v>1</v>
      </c>
      <c r="F417">
        <v>12000</v>
      </c>
      <c r="G417" t="s">
        <v>20</v>
      </c>
      <c r="H417">
        <f t="shared" si="6"/>
        <v>12000</v>
      </c>
      <c r="I417" t="str">
        <f>IFERROR(VLOOKUP(D417,'product master'!A:C,2,FALSE),"Not Found")</f>
        <v>Monitor</v>
      </c>
      <c r="J417" t="str">
        <f>IFERROR(VLOOKUP(D417,'product master'!A:C,3,FALSE),"Not Found")</f>
        <v>Electronics</v>
      </c>
    </row>
    <row r="418" spans="1:10" x14ac:dyDescent="0.3">
      <c r="A418" t="s">
        <v>451</v>
      </c>
      <c r="B418" s="1">
        <v>46179</v>
      </c>
      <c r="C418" t="s">
        <v>25</v>
      </c>
      <c r="D418" t="s">
        <v>22</v>
      </c>
      <c r="E418">
        <v>51</v>
      </c>
      <c r="F418">
        <v>320</v>
      </c>
      <c r="G418" t="s">
        <v>26</v>
      </c>
      <c r="H418">
        <f t="shared" si="6"/>
        <v>16320</v>
      </c>
      <c r="I418" t="str">
        <f>IFERROR(VLOOKUP(D418,'product master'!A:C,2,FALSE),"Not Found")</f>
        <v>Notebook Pack</v>
      </c>
      <c r="J418" t="str">
        <f>IFERROR(VLOOKUP(D418,'product master'!A:C,3,FALSE),"Not Found")</f>
        <v>Stationery</v>
      </c>
    </row>
    <row r="419" spans="1:10" x14ac:dyDescent="0.3">
      <c r="A419" t="s">
        <v>452</v>
      </c>
      <c r="B419" s="1">
        <v>46180</v>
      </c>
      <c r="C419" t="s">
        <v>12</v>
      </c>
      <c r="D419" t="s">
        <v>109</v>
      </c>
      <c r="E419">
        <v>2</v>
      </c>
      <c r="F419">
        <v>45000</v>
      </c>
      <c r="G419" t="s">
        <v>28</v>
      </c>
      <c r="H419">
        <f t="shared" si="6"/>
        <v>90000</v>
      </c>
      <c r="I419" t="str">
        <f>IFERROR(VLOOKUP(D419,'product master'!A:C,2,FALSE),"Not Found")</f>
        <v>Not Found</v>
      </c>
      <c r="J419" t="str">
        <f>IFERROR(VLOOKUP(D419,'product master'!A:C,3,FALSE),"Not Found")</f>
        <v>Not Found</v>
      </c>
    </row>
    <row r="420" spans="1:10" x14ac:dyDescent="0.3">
      <c r="A420" t="s">
        <v>453</v>
      </c>
      <c r="B420" s="1">
        <v>46180</v>
      </c>
      <c r="C420" t="s">
        <v>25</v>
      </c>
      <c r="D420" t="s">
        <v>9</v>
      </c>
      <c r="E420">
        <v>1</v>
      </c>
      <c r="F420">
        <v>7500</v>
      </c>
      <c r="G420" t="s">
        <v>47</v>
      </c>
      <c r="H420">
        <f t="shared" si="6"/>
        <v>7500</v>
      </c>
      <c r="I420" t="str">
        <f>IFERROR(VLOOKUP(D420,'product master'!A:C,2,FALSE),"Not Found")</f>
        <v>Office Chair</v>
      </c>
      <c r="J420" t="str">
        <f>IFERROR(VLOOKUP(D420,'product master'!A:C,3,FALSE),"Not Found")</f>
        <v>Furniture</v>
      </c>
    </row>
    <row r="421" spans="1:10" x14ac:dyDescent="0.3">
      <c r="A421" t="s">
        <v>454</v>
      </c>
      <c r="B421" s="1">
        <v>46180</v>
      </c>
      <c r="C421" t="s">
        <v>25</v>
      </c>
      <c r="D421" t="s">
        <v>19</v>
      </c>
      <c r="E421">
        <v>9</v>
      </c>
      <c r="F421">
        <v>650</v>
      </c>
      <c r="G421" t="s">
        <v>39</v>
      </c>
      <c r="H421">
        <f t="shared" si="6"/>
        <v>5850</v>
      </c>
      <c r="I421" t="str">
        <f>IFERROR(VLOOKUP(D421,'product master'!A:C,2,FALSE),"Not Found")</f>
        <v>Wireless Mouse</v>
      </c>
      <c r="J421" t="str">
        <f>IFERROR(VLOOKUP(D421,'product master'!A:C,3,FALSE),"Not Found")</f>
        <v>Accessories</v>
      </c>
    </row>
    <row r="422" spans="1:10" x14ac:dyDescent="0.3">
      <c r="A422" t="s">
        <v>455</v>
      </c>
      <c r="B422" s="1">
        <v>46180</v>
      </c>
      <c r="C422" t="s">
        <v>18</v>
      </c>
      <c r="D422" t="s">
        <v>9</v>
      </c>
      <c r="E422">
        <v>3</v>
      </c>
      <c r="F422">
        <v>7500</v>
      </c>
      <c r="G422" t="s">
        <v>33</v>
      </c>
      <c r="H422">
        <f t="shared" si="6"/>
        <v>22500</v>
      </c>
      <c r="I422" t="str">
        <f>IFERROR(VLOOKUP(D422,'product master'!A:C,2,FALSE),"Not Found")</f>
        <v>Office Chair</v>
      </c>
      <c r="J422" t="str">
        <f>IFERROR(VLOOKUP(D422,'product master'!A:C,3,FALSE),"Not Found")</f>
        <v>Furniture</v>
      </c>
    </row>
    <row r="423" spans="1:10" x14ac:dyDescent="0.3">
      <c r="A423" t="s">
        <v>456</v>
      </c>
      <c r="B423" s="1">
        <v>46180</v>
      </c>
      <c r="C423" t="s">
        <v>18</v>
      </c>
      <c r="D423" t="s">
        <v>58</v>
      </c>
      <c r="E423">
        <v>10</v>
      </c>
      <c r="F423">
        <v>1200</v>
      </c>
      <c r="G423" t="s">
        <v>33</v>
      </c>
      <c r="H423">
        <f t="shared" si="6"/>
        <v>12000</v>
      </c>
      <c r="I423" t="str">
        <f>IFERROR(VLOOKUP(D423,'product master'!A:C,2,FALSE),"Not Found")</f>
        <v>Keyboard</v>
      </c>
      <c r="J423" t="str">
        <f>IFERROR(VLOOKUP(D423,'product master'!A:C,3,FALSE),"Not Found")</f>
        <v>Accessories</v>
      </c>
    </row>
    <row r="424" spans="1:10" x14ac:dyDescent="0.3">
      <c r="A424" t="s">
        <v>457</v>
      </c>
      <c r="B424" s="1">
        <v>46180</v>
      </c>
      <c r="C424" t="s">
        <v>12</v>
      </c>
      <c r="D424" t="s">
        <v>36</v>
      </c>
      <c r="E424">
        <v>5</v>
      </c>
      <c r="F424">
        <v>12000</v>
      </c>
      <c r="G424" t="s">
        <v>14</v>
      </c>
      <c r="H424">
        <f t="shared" si="6"/>
        <v>60000</v>
      </c>
      <c r="I424" t="str">
        <f>IFERROR(VLOOKUP(D424,'product master'!A:C,2,FALSE),"Not Found")</f>
        <v>Monitor</v>
      </c>
      <c r="J424" t="str">
        <f>IFERROR(VLOOKUP(D424,'product master'!A:C,3,FALSE),"Not Found")</f>
        <v>Electronics</v>
      </c>
    </row>
    <row r="425" spans="1:10" x14ac:dyDescent="0.3">
      <c r="A425" t="s">
        <v>458</v>
      </c>
      <c r="B425" s="1">
        <v>46181</v>
      </c>
      <c r="C425" t="s">
        <v>8</v>
      </c>
      <c r="D425" t="s">
        <v>19</v>
      </c>
      <c r="E425">
        <v>7</v>
      </c>
      <c r="F425">
        <v>650</v>
      </c>
      <c r="G425" t="s">
        <v>10</v>
      </c>
      <c r="H425">
        <f t="shared" si="6"/>
        <v>4550</v>
      </c>
      <c r="I425" t="str">
        <f>IFERROR(VLOOKUP(D425,'product master'!A:C,2,FALSE),"Not Found")</f>
        <v>Wireless Mouse</v>
      </c>
      <c r="J425" t="str">
        <f>IFERROR(VLOOKUP(D425,'product master'!A:C,3,FALSE),"Not Found")</f>
        <v>Accessories</v>
      </c>
    </row>
    <row r="426" spans="1:10" x14ac:dyDescent="0.3">
      <c r="A426" t="s">
        <v>459</v>
      </c>
      <c r="B426" s="1">
        <v>46181</v>
      </c>
      <c r="C426" t="s">
        <v>18</v>
      </c>
      <c r="D426" t="s">
        <v>36</v>
      </c>
      <c r="E426">
        <v>4</v>
      </c>
      <c r="F426">
        <v>12000</v>
      </c>
      <c r="G426" t="s">
        <v>33</v>
      </c>
      <c r="H426">
        <f t="shared" si="6"/>
        <v>48000</v>
      </c>
      <c r="I426" t="str">
        <f>IFERROR(VLOOKUP(D426,'product master'!A:C,2,FALSE),"Not Found")</f>
        <v>Monitor</v>
      </c>
      <c r="J426" t="str">
        <f>IFERROR(VLOOKUP(D426,'product master'!A:C,3,FALSE),"Not Found")</f>
        <v>Electronics</v>
      </c>
    </row>
    <row r="427" spans="1:10" x14ac:dyDescent="0.3">
      <c r="A427" t="s">
        <v>460</v>
      </c>
      <c r="B427" s="1">
        <v>46182</v>
      </c>
      <c r="C427" t="s">
        <v>12</v>
      </c>
      <c r="D427" t="s">
        <v>13</v>
      </c>
      <c r="E427">
        <v>68</v>
      </c>
      <c r="F427">
        <v>180</v>
      </c>
      <c r="G427" t="s">
        <v>28</v>
      </c>
      <c r="H427">
        <f t="shared" si="6"/>
        <v>12240</v>
      </c>
      <c r="I427" t="str">
        <f>IFERROR(VLOOKUP(D427,'product master'!A:C,2,FALSE),"Not Found")</f>
        <v>Pen Box</v>
      </c>
      <c r="J427" t="str">
        <f>IFERROR(VLOOKUP(D427,'product master'!A:C,3,FALSE),"Not Found")</f>
        <v>Stationery</v>
      </c>
    </row>
    <row r="428" spans="1:10" x14ac:dyDescent="0.3">
      <c r="A428" t="s">
        <v>461</v>
      </c>
      <c r="B428" s="1">
        <v>46183</v>
      </c>
      <c r="C428" t="s">
        <v>25</v>
      </c>
      <c r="D428" t="s">
        <v>51</v>
      </c>
      <c r="E428">
        <v>17</v>
      </c>
      <c r="F428">
        <v>2200</v>
      </c>
      <c r="G428" t="s">
        <v>26</v>
      </c>
      <c r="H428">
        <f t="shared" si="6"/>
        <v>37400</v>
      </c>
      <c r="I428" t="str">
        <f>IFERROR(VLOOKUP(D428,'product master'!A:C,2,FALSE),"Not Found")</f>
        <v>Headphones</v>
      </c>
      <c r="J428" t="str">
        <f>IFERROR(VLOOKUP(D428,'product master'!A:C,3,FALSE),"Not Found")</f>
        <v>Accessories</v>
      </c>
    </row>
    <row r="429" spans="1:10" x14ac:dyDescent="0.3">
      <c r="A429" t="s">
        <v>462</v>
      </c>
      <c r="B429" s="1">
        <v>46183</v>
      </c>
      <c r="C429" t="s">
        <v>12</v>
      </c>
      <c r="D429" t="s">
        <v>19</v>
      </c>
      <c r="E429">
        <v>5</v>
      </c>
      <c r="F429">
        <v>650</v>
      </c>
      <c r="G429" t="s">
        <v>28</v>
      </c>
      <c r="H429">
        <f t="shared" si="6"/>
        <v>3250</v>
      </c>
      <c r="I429" t="str">
        <f>IFERROR(VLOOKUP(D429,'product master'!A:C,2,FALSE),"Not Found")</f>
        <v>Wireless Mouse</v>
      </c>
      <c r="J429" t="str">
        <f>IFERROR(VLOOKUP(D429,'product master'!A:C,3,FALSE),"Not Found")</f>
        <v>Accessories</v>
      </c>
    </row>
    <row r="430" spans="1:10" x14ac:dyDescent="0.3">
      <c r="A430" t="s">
        <v>463</v>
      </c>
      <c r="B430" s="1">
        <v>46183</v>
      </c>
      <c r="C430" t="s">
        <v>12</v>
      </c>
      <c r="D430" t="s">
        <v>36</v>
      </c>
      <c r="E430">
        <v>5</v>
      </c>
      <c r="F430">
        <v>12000</v>
      </c>
      <c r="G430" t="s">
        <v>14</v>
      </c>
      <c r="H430">
        <f t="shared" si="6"/>
        <v>60000</v>
      </c>
      <c r="I430" t="str">
        <f>IFERROR(VLOOKUP(D430,'product master'!A:C,2,FALSE),"Not Found")</f>
        <v>Monitor</v>
      </c>
      <c r="J430" t="str">
        <f>IFERROR(VLOOKUP(D430,'product master'!A:C,3,FALSE),"Not Found")</f>
        <v>Electronics</v>
      </c>
    </row>
    <row r="431" spans="1:10" x14ac:dyDescent="0.3">
      <c r="A431" t="s">
        <v>464</v>
      </c>
      <c r="B431" s="1">
        <v>46183</v>
      </c>
      <c r="C431" t="s">
        <v>12</v>
      </c>
      <c r="D431" t="s">
        <v>58</v>
      </c>
      <c r="E431">
        <v>18</v>
      </c>
      <c r="F431">
        <v>1200</v>
      </c>
      <c r="G431" t="s">
        <v>43</v>
      </c>
      <c r="H431">
        <f t="shared" si="6"/>
        <v>21600</v>
      </c>
      <c r="I431" t="str">
        <f>IFERROR(VLOOKUP(D431,'product master'!A:C,2,FALSE),"Not Found")</f>
        <v>Keyboard</v>
      </c>
      <c r="J431" t="str">
        <f>IFERROR(VLOOKUP(D431,'product master'!A:C,3,FALSE),"Not Found")</f>
        <v>Accessories</v>
      </c>
    </row>
    <row r="432" spans="1:10" x14ac:dyDescent="0.3">
      <c r="A432" t="s">
        <v>465</v>
      </c>
      <c r="B432" s="1">
        <v>46183</v>
      </c>
      <c r="C432" t="s">
        <v>12</v>
      </c>
      <c r="D432" t="s">
        <v>16</v>
      </c>
      <c r="E432">
        <v>3</v>
      </c>
      <c r="F432">
        <v>45000</v>
      </c>
      <c r="G432" t="s">
        <v>14</v>
      </c>
      <c r="H432">
        <f t="shared" si="6"/>
        <v>135000</v>
      </c>
      <c r="I432" t="str">
        <f>IFERROR(VLOOKUP(D432,'product master'!A:C,2,FALSE),"Not Found")</f>
        <v>Laptop</v>
      </c>
      <c r="J432" t="str">
        <f>IFERROR(VLOOKUP(D432,'product master'!A:C,3,FALSE),"Not Found")</f>
        <v>Electronics</v>
      </c>
    </row>
    <row r="433" spans="1:10" x14ac:dyDescent="0.3">
      <c r="A433" t="s">
        <v>466</v>
      </c>
      <c r="B433" s="1">
        <v>46184</v>
      </c>
      <c r="C433" t="s">
        <v>18</v>
      </c>
      <c r="D433" t="s">
        <v>19</v>
      </c>
      <c r="E433">
        <v>3</v>
      </c>
      <c r="F433">
        <v>650</v>
      </c>
      <c r="G433" t="s">
        <v>20</v>
      </c>
      <c r="H433">
        <f t="shared" si="6"/>
        <v>1950</v>
      </c>
      <c r="I433" t="str">
        <f>IFERROR(VLOOKUP(D433,'product master'!A:C,2,FALSE),"Not Found")</f>
        <v>Wireless Mouse</v>
      </c>
      <c r="J433" t="str">
        <f>IFERROR(VLOOKUP(D433,'product master'!A:C,3,FALSE),"Not Found")</f>
        <v>Accessories</v>
      </c>
    </row>
    <row r="434" spans="1:10" x14ac:dyDescent="0.3">
      <c r="A434" t="s">
        <v>467</v>
      </c>
      <c r="B434" s="1">
        <v>46184</v>
      </c>
      <c r="C434" t="s">
        <v>8</v>
      </c>
      <c r="D434" t="s">
        <v>16</v>
      </c>
      <c r="E434">
        <v>3</v>
      </c>
      <c r="F434">
        <v>45000</v>
      </c>
      <c r="G434" t="s">
        <v>23</v>
      </c>
      <c r="H434">
        <f t="shared" si="6"/>
        <v>135000</v>
      </c>
      <c r="I434" t="str">
        <f>IFERROR(VLOOKUP(D434,'product master'!A:C,2,FALSE),"Not Found")</f>
        <v>Laptop</v>
      </c>
      <c r="J434" t="str">
        <f>IFERROR(VLOOKUP(D434,'product master'!A:C,3,FALSE),"Not Found")</f>
        <v>Electronics</v>
      </c>
    </row>
    <row r="435" spans="1:10" x14ac:dyDescent="0.3">
      <c r="A435" t="s">
        <v>468</v>
      </c>
      <c r="B435" s="1">
        <v>46184</v>
      </c>
      <c r="C435" t="s">
        <v>8</v>
      </c>
      <c r="D435" t="s">
        <v>22</v>
      </c>
      <c r="E435">
        <v>63</v>
      </c>
      <c r="F435">
        <v>320</v>
      </c>
      <c r="G435" t="s">
        <v>23</v>
      </c>
      <c r="H435">
        <f t="shared" si="6"/>
        <v>20160</v>
      </c>
      <c r="I435" t="str">
        <f>IFERROR(VLOOKUP(D435,'product master'!A:C,2,FALSE),"Not Found")</f>
        <v>Notebook Pack</v>
      </c>
      <c r="J435" t="str">
        <f>IFERROR(VLOOKUP(D435,'product master'!A:C,3,FALSE),"Not Found")</f>
        <v>Stationery</v>
      </c>
    </row>
    <row r="436" spans="1:10" x14ac:dyDescent="0.3">
      <c r="A436" t="s">
        <v>469</v>
      </c>
      <c r="B436" s="1">
        <v>46184</v>
      </c>
      <c r="C436" t="s">
        <v>8</v>
      </c>
      <c r="D436" t="s">
        <v>180</v>
      </c>
      <c r="E436">
        <v>4</v>
      </c>
      <c r="F436">
        <v>9500</v>
      </c>
      <c r="G436" t="s">
        <v>10</v>
      </c>
      <c r="H436">
        <f t="shared" si="6"/>
        <v>38000</v>
      </c>
      <c r="I436" t="str">
        <f>IFERROR(VLOOKUP(D436,'product master'!A:C,2,FALSE),"Not Found")</f>
        <v>Printer</v>
      </c>
      <c r="J436" t="str">
        <f>IFERROR(VLOOKUP(D436,'product master'!A:C,3,FALSE),"Not Found")</f>
        <v>Electronics</v>
      </c>
    </row>
    <row r="437" spans="1:10" x14ac:dyDescent="0.3">
      <c r="A437" t="s">
        <v>470</v>
      </c>
      <c r="B437" s="1">
        <v>46185</v>
      </c>
      <c r="C437" t="s">
        <v>8</v>
      </c>
      <c r="D437" t="s">
        <v>51</v>
      </c>
      <c r="E437">
        <v>6</v>
      </c>
      <c r="F437">
        <v>2200</v>
      </c>
      <c r="G437" t="s">
        <v>10</v>
      </c>
      <c r="H437">
        <f t="shared" si="6"/>
        <v>13200</v>
      </c>
      <c r="I437" t="str">
        <f>IFERROR(VLOOKUP(D437,'product master'!A:C,2,FALSE),"Not Found")</f>
        <v>Headphones</v>
      </c>
      <c r="J437" t="str">
        <f>IFERROR(VLOOKUP(D437,'product master'!A:C,3,FALSE),"Not Found")</f>
        <v>Accessories</v>
      </c>
    </row>
    <row r="438" spans="1:10" x14ac:dyDescent="0.3">
      <c r="A438" t="s">
        <v>471</v>
      </c>
      <c r="B438" s="1">
        <v>46185</v>
      </c>
      <c r="C438" t="s">
        <v>18</v>
      </c>
      <c r="D438" t="s">
        <v>19</v>
      </c>
      <c r="E438">
        <v>19</v>
      </c>
      <c r="F438">
        <v>650</v>
      </c>
      <c r="G438" t="s">
        <v>33</v>
      </c>
      <c r="H438">
        <f t="shared" si="6"/>
        <v>12350</v>
      </c>
      <c r="I438" t="str">
        <f>IFERROR(VLOOKUP(D438,'product master'!A:C,2,FALSE),"Not Found")</f>
        <v>Wireless Mouse</v>
      </c>
      <c r="J438" t="str">
        <f>IFERROR(VLOOKUP(D438,'product master'!A:C,3,FALSE),"Not Found")</f>
        <v>Accessories</v>
      </c>
    </row>
    <row r="439" spans="1:10" x14ac:dyDescent="0.3">
      <c r="A439" t="s">
        <v>472</v>
      </c>
      <c r="B439" s="1">
        <v>46185</v>
      </c>
      <c r="C439" t="s">
        <v>25</v>
      </c>
      <c r="D439" t="s">
        <v>9</v>
      </c>
      <c r="E439">
        <v>1</v>
      </c>
      <c r="F439">
        <v>7500</v>
      </c>
      <c r="G439" t="s">
        <v>39</v>
      </c>
      <c r="H439">
        <f t="shared" si="6"/>
        <v>7500</v>
      </c>
      <c r="I439" t="str">
        <f>IFERROR(VLOOKUP(D439,'product master'!A:C,2,FALSE),"Not Found")</f>
        <v>Office Chair</v>
      </c>
      <c r="J439" t="str">
        <f>IFERROR(VLOOKUP(D439,'product master'!A:C,3,FALSE),"Not Found")</f>
        <v>Furniture</v>
      </c>
    </row>
    <row r="440" spans="1:10" x14ac:dyDescent="0.3">
      <c r="A440" t="s">
        <v>473</v>
      </c>
      <c r="B440" s="1">
        <v>46185</v>
      </c>
      <c r="C440" t="s">
        <v>25</v>
      </c>
      <c r="D440" t="s">
        <v>51</v>
      </c>
      <c r="E440">
        <v>5</v>
      </c>
      <c r="F440">
        <v>2200</v>
      </c>
      <c r="G440" t="s">
        <v>26</v>
      </c>
      <c r="H440">
        <f t="shared" si="6"/>
        <v>11000</v>
      </c>
      <c r="I440" t="str">
        <f>IFERROR(VLOOKUP(D440,'product master'!A:C,2,FALSE),"Not Found")</f>
        <v>Headphones</v>
      </c>
      <c r="J440" t="str">
        <f>IFERROR(VLOOKUP(D440,'product master'!A:C,3,FALSE),"Not Found")</f>
        <v>Accessories</v>
      </c>
    </row>
    <row r="441" spans="1:10" x14ac:dyDescent="0.3">
      <c r="A441" t="s">
        <v>474</v>
      </c>
      <c r="B441" s="1">
        <v>46186</v>
      </c>
      <c r="C441" t="s">
        <v>25</v>
      </c>
      <c r="D441" t="s">
        <v>22</v>
      </c>
      <c r="E441">
        <v>80</v>
      </c>
      <c r="F441">
        <v>320</v>
      </c>
      <c r="G441" t="s">
        <v>47</v>
      </c>
      <c r="H441">
        <f t="shared" si="6"/>
        <v>25600</v>
      </c>
      <c r="I441" t="str">
        <f>IFERROR(VLOOKUP(D441,'product master'!A:C,2,FALSE),"Not Found")</f>
        <v>Notebook Pack</v>
      </c>
      <c r="J441" t="str">
        <f>IFERROR(VLOOKUP(D441,'product master'!A:C,3,FALSE),"Not Found")</f>
        <v>Stationery</v>
      </c>
    </row>
    <row r="442" spans="1:10" x14ac:dyDescent="0.3">
      <c r="A442" t="s">
        <v>475</v>
      </c>
      <c r="B442" s="1">
        <v>46186</v>
      </c>
      <c r="C442" t="s">
        <v>25</v>
      </c>
      <c r="D442" t="s">
        <v>22</v>
      </c>
      <c r="E442">
        <v>17</v>
      </c>
      <c r="F442">
        <v>320</v>
      </c>
      <c r="G442" t="s">
        <v>47</v>
      </c>
      <c r="H442">
        <f t="shared" si="6"/>
        <v>5440</v>
      </c>
      <c r="I442" t="str">
        <f>IFERROR(VLOOKUP(D442,'product master'!A:C,2,FALSE),"Not Found")</f>
        <v>Notebook Pack</v>
      </c>
      <c r="J442" t="str">
        <f>IFERROR(VLOOKUP(D442,'product master'!A:C,3,FALSE),"Not Found")</f>
        <v>Stationery</v>
      </c>
    </row>
    <row r="443" spans="1:10" x14ac:dyDescent="0.3">
      <c r="A443" t="s">
        <v>476</v>
      </c>
      <c r="B443" s="1">
        <v>46186</v>
      </c>
      <c r="C443" t="s">
        <v>8</v>
      </c>
      <c r="D443" t="s">
        <v>58</v>
      </c>
      <c r="E443">
        <v>8</v>
      </c>
      <c r="F443">
        <v>1200</v>
      </c>
      <c r="G443" t="s">
        <v>23</v>
      </c>
      <c r="H443">
        <f t="shared" si="6"/>
        <v>9600</v>
      </c>
      <c r="I443" t="str">
        <f>IFERROR(VLOOKUP(D443,'product master'!A:C,2,FALSE),"Not Found")</f>
        <v>Keyboard</v>
      </c>
      <c r="J443" t="str">
        <f>IFERROR(VLOOKUP(D443,'product master'!A:C,3,FALSE),"Not Found")</f>
        <v>Accessories</v>
      </c>
    </row>
    <row r="444" spans="1:10" x14ac:dyDescent="0.3">
      <c r="A444" t="s">
        <v>477</v>
      </c>
      <c r="B444" s="1">
        <v>46187</v>
      </c>
      <c r="C444" t="s">
        <v>18</v>
      </c>
      <c r="D444" t="s">
        <v>22</v>
      </c>
      <c r="E444">
        <v>30</v>
      </c>
      <c r="F444">
        <v>320</v>
      </c>
      <c r="G444" t="s">
        <v>30</v>
      </c>
      <c r="H444">
        <f t="shared" si="6"/>
        <v>9600</v>
      </c>
      <c r="I444" t="str">
        <f>IFERROR(VLOOKUP(D444,'product master'!A:C,2,FALSE),"Not Found")</f>
        <v>Notebook Pack</v>
      </c>
      <c r="J444" t="str">
        <f>IFERROR(VLOOKUP(D444,'product master'!A:C,3,FALSE),"Not Found")</f>
        <v>Stationery</v>
      </c>
    </row>
    <row r="445" spans="1:10" x14ac:dyDescent="0.3">
      <c r="A445" t="s">
        <v>478</v>
      </c>
      <c r="B445" s="1">
        <v>46187</v>
      </c>
      <c r="C445" t="s">
        <v>12</v>
      </c>
      <c r="D445" t="s">
        <v>58</v>
      </c>
      <c r="E445">
        <v>17</v>
      </c>
      <c r="F445">
        <v>1200</v>
      </c>
      <c r="G445" t="s">
        <v>543</v>
      </c>
      <c r="H445">
        <f t="shared" si="6"/>
        <v>20400</v>
      </c>
      <c r="I445" t="str">
        <f>IFERROR(VLOOKUP(D445,'product master'!A:C,2,FALSE),"Not Found")</f>
        <v>Keyboard</v>
      </c>
      <c r="J445" t="str">
        <f>IFERROR(VLOOKUP(D445,'product master'!A:C,3,FALSE),"Not Found")</f>
        <v>Accessories</v>
      </c>
    </row>
    <row r="446" spans="1:10" x14ac:dyDescent="0.3">
      <c r="A446" t="s">
        <v>479</v>
      </c>
      <c r="B446" s="1">
        <v>46187</v>
      </c>
      <c r="C446" t="s">
        <v>25</v>
      </c>
      <c r="D446" t="s">
        <v>13</v>
      </c>
      <c r="E446">
        <v>51</v>
      </c>
      <c r="F446">
        <v>180</v>
      </c>
      <c r="G446" t="s">
        <v>47</v>
      </c>
      <c r="H446">
        <f t="shared" si="6"/>
        <v>9180</v>
      </c>
      <c r="I446" t="str">
        <f>IFERROR(VLOOKUP(D446,'product master'!A:C,2,FALSE),"Not Found")</f>
        <v>Pen Box</v>
      </c>
      <c r="J446" t="str">
        <f>IFERROR(VLOOKUP(D446,'product master'!A:C,3,FALSE),"Not Found")</f>
        <v>Stationery</v>
      </c>
    </row>
    <row r="447" spans="1:10" x14ac:dyDescent="0.3">
      <c r="A447" t="s">
        <v>480</v>
      </c>
      <c r="B447" s="1">
        <v>46187</v>
      </c>
      <c r="C447" t="s">
        <v>8</v>
      </c>
      <c r="D447" t="s">
        <v>22</v>
      </c>
      <c r="E447">
        <v>49</v>
      </c>
      <c r="F447">
        <v>320</v>
      </c>
      <c r="G447" t="s">
        <v>23</v>
      </c>
      <c r="H447">
        <f t="shared" si="6"/>
        <v>15680</v>
      </c>
      <c r="I447" t="str">
        <f>IFERROR(VLOOKUP(D447,'product master'!A:C,2,FALSE),"Not Found")</f>
        <v>Notebook Pack</v>
      </c>
      <c r="J447" t="str">
        <f>IFERROR(VLOOKUP(D447,'product master'!A:C,3,FALSE),"Not Found")</f>
        <v>Stationery</v>
      </c>
    </row>
    <row r="448" spans="1:10" x14ac:dyDescent="0.3">
      <c r="A448" t="s">
        <v>481</v>
      </c>
      <c r="B448" s="1">
        <v>46188</v>
      </c>
      <c r="C448" t="s">
        <v>18</v>
      </c>
      <c r="D448" t="s">
        <v>51</v>
      </c>
      <c r="E448">
        <v>5</v>
      </c>
      <c r="F448">
        <v>2200</v>
      </c>
      <c r="G448" t="s">
        <v>30</v>
      </c>
      <c r="H448">
        <f t="shared" si="6"/>
        <v>11000</v>
      </c>
      <c r="I448" t="str">
        <f>IFERROR(VLOOKUP(D448,'product master'!A:C,2,FALSE),"Not Found")</f>
        <v>Headphones</v>
      </c>
      <c r="J448" t="str">
        <f>IFERROR(VLOOKUP(D448,'product master'!A:C,3,FALSE),"Not Found")</f>
        <v>Accessories</v>
      </c>
    </row>
    <row r="449" spans="1:10" x14ac:dyDescent="0.3">
      <c r="A449" t="s">
        <v>482</v>
      </c>
      <c r="B449" s="1">
        <v>46188</v>
      </c>
      <c r="C449" t="s">
        <v>18</v>
      </c>
      <c r="D449" t="s">
        <v>19</v>
      </c>
      <c r="E449">
        <v>19</v>
      </c>
      <c r="F449">
        <v>650</v>
      </c>
      <c r="G449" t="s">
        <v>33</v>
      </c>
      <c r="H449">
        <f t="shared" si="6"/>
        <v>12350</v>
      </c>
      <c r="I449" t="str">
        <f>IFERROR(VLOOKUP(D449,'product master'!A:C,2,FALSE),"Not Found")</f>
        <v>Wireless Mouse</v>
      </c>
      <c r="J449" t="str">
        <f>IFERROR(VLOOKUP(D449,'product master'!A:C,3,FALSE),"Not Found")</f>
        <v>Accessories</v>
      </c>
    </row>
    <row r="450" spans="1:10" x14ac:dyDescent="0.3">
      <c r="A450" t="s">
        <v>483</v>
      </c>
      <c r="B450" s="1">
        <v>46188</v>
      </c>
      <c r="C450" t="s">
        <v>8</v>
      </c>
      <c r="D450" t="s">
        <v>51</v>
      </c>
      <c r="E450">
        <v>3</v>
      </c>
      <c r="F450">
        <v>2200</v>
      </c>
      <c r="G450" t="s">
        <v>10</v>
      </c>
      <c r="H450">
        <f t="shared" ref="H450:H490" si="7">E450*F450</f>
        <v>6600</v>
      </c>
      <c r="I450" t="str">
        <f>IFERROR(VLOOKUP(D450,'product master'!A:C,2,FALSE),"Not Found")</f>
        <v>Headphones</v>
      </c>
      <c r="J450" t="str">
        <f>IFERROR(VLOOKUP(D450,'product master'!A:C,3,FALSE),"Not Found")</f>
        <v>Accessories</v>
      </c>
    </row>
    <row r="451" spans="1:10" x14ac:dyDescent="0.3">
      <c r="A451" t="s">
        <v>484</v>
      </c>
      <c r="B451" s="1">
        <v>46188</v>
      </c>
      <c r="C451" t="s">
        <v>18</v>
      </c>
      <c r="D451" t="s">
        <v>36</v>
      </c>
      <c r="E451">
        <v>1</v>
      </c>
      <c r="F451">
        <v>12000</v>
      </c>
      <c r="G451" t="s">
        <v>20</v>
      </c>
      <c r="H451">
        <f t="shared" si="7"/>
        <v>12000</v>
      </c>
      <c r="I451" t="str">
        <f>IFERROR(VLOOKUP(D451,'product master'!A:C,2,FALSE),"Not Found")</f>
        <v>Monitor</v>
      </c>
      <c r="J451" t="str">
        <f>IFERROR(VLOOKUP(D451,'product master'!A:C,3,FALSE),"Not Found")</f>
        <v>Electronics</v>
      </c>
    </row>
    <row r="452" spans="1:10" x14ac:dyDescent="0.3">
      <c r="A452" t="s">
        <v>485</v>
      </c>
      <c r="B452" s="1">
        <v>46188</v>
      </c>
      <c r="C452" t="s">
        <v>8</v>
      </c>
      <c r="D452" t="s">
        <v>51</v>
      </c>
      <c r="E452">
        <v>20</v>
      </c>
      <c r="F452">
        <v>2200</v>
      </c>
      <c r="G452" t="s">
        <v>23</v>
      </c>
      <c r="H452">
        <f t="shared" si="7"/>
        <v>44000</v>
      </c>
      <c r="I452" t="str">
        <f>IFERROR(VLOOKUP(D452,'product master'!A:C,2,FALSE),"Not Found")</f>
        <v>Headphones</v>
      </c>
      <c r="J452" t="str">
        <f>IFERROR(VLOOKUP(D452,'product master'!A:C,3,FALSE),"Not Found")</f>
        <v>Accessories</v>
      </c>
    </row>
    <row r="453" spans="1:10" x14ac:dyDescent="0.3">
      <c r="A453" t="s">
        <v>486</v>
      </c>
      <c r="B453" s="1">
        <v>46188</v>
      </c>
      <c r="C453" t="s">
        <v>18</v>
      </c>
      <c r="D453" t="s">
        <v>19</v>
      </c>
      <c r="E453">
        <v>7</v>
      </c>
      <c r="F453">
        <v>650</v>
      </c>
      <c r="G453" t="s">
        <v>20</v>
      </c>
      <c r="H453">
        <f t="shared" si="7"/>
        <v>4550</v>
      </c>
      <c r="I453" t="str">
        <f>IFERROR(VLOOKUP(D453,'product master'!A:C,2,FALSE),"Not Found")</f>
        <v>Wireless Mouse</v>
      </c>
      <c r="J453" t="str">
        <f>IFERROR(VLOOKUP(D453,'product master'!A:C,3,FALSE),"Not Found")</f>
        <v>Accessories</v>
      </c>
    </row>
    <row r="454" spans="1:10" x14ac:dyDescent="0.3">
      <c r="A454" t="s">
        <v>487</v>
      </c>
      <c r="B454" s="1">
        <v>46189</v>
      </c>
      <c r="C454" t="s">
        <v>8</v>
      </c>
      <c r="D454" t="s">
        <v>22</v>
      </c>
      <c r="E454">
        <v>17</v>
      </c>
      <c r="F454">
        <v>320</v>
      </c>
      <c r="G454" t="s">
        <v>23</v>
      </c>
      <c r="H454">
        <f t="shared" si="7"/>
        <v>5440</v>
      </c>
      <c r="I454" t="str">
        <f>IFERROR(VLOOKUP(D454,'product master'!A:C,2,FALSE),"Not Found")</f>
        <v>Notebook Pack</v>
      </c>
      <c r="J454" t="str">
        <f>IFERROR(VLOOKUP(D454,'product master'!A:C,3,FALSE),"Not Found")</f>
        <v>Stationery</v>
      </c>
    </row>
    <row r="455" spans="1:10" x14ac:dyDescent="0.3">
      <c r="A455" t="s">
        <v>488</v>
      </c>
      <c r="B455" s="1">
        <v>46190</v>
      </c>
      <c r="C455" t="s">
        <v>25</v>
      </c>
      <c r="D455" t="s">
        <v>19</v>
      </c>
      <c r="E455">
        <v>18</v>
      </c>
      <c r="F455">
        <v>650</v>
      </c>
      <c r="G455" t="s">
        <v>26</v>
      </c>
      <c r="H455">
        <f t="shared" si="7"/>
        <v>11700</v>
      </c>
      <c r="I455" t="str">
        <f>IFERROR(VLOOKUP(D455,'product master'!A:C,2,FALSE),"Not Found")</f>
        <v>Wireless Mouse</v>
      </c>
      <c r="J455" t="str">
        <f>IFERROR(VLOOKUP(D455,'product master'!A:C,3,FALSE),"Not Found")</f>
        <v>Accessories</v>
      </c>
    </row>
    <row r="456" spans="1:10" x14ac:dyDescent="0.3">
      <c r="A456" t="s">
        <v>489</v>
      </c>
      <c r="B456" s="1">
        <v>46191</v>
      </c>
      <c r="C456" t="s">
        <v>12</v>
      </c>
      <c r="D456" t="s">
        <v>22</v>
      </c>
      <c r="E456">
        <v>64</v>
      </c>
      <c r="F456">
        <v>320</v>
      </c>
      <c r="G456" t="s">
        <v>28</v>
      </c>
      <c r="H456">
        <f t="shared" si="7"/>
        <v>20480</v>
      </c>
      <c r="I456" t="str">
        <f>IFERROR(VLOOKUP(D456,'product master'!A:C,2,FALSE),"Not Found")</f>
        <v>Notebook Pack</v>
      </c>
      <c r="J456" t="str">
        <f>IFERROR(VLOOKUP(D456,'product master'!A:C,3,FALSE),"Not Found")</f>
        <v>Stationery</v>
      </c>
    </row>
    <row r="457" spans="1:10" x14ac:dyDescent="0.3">
      <c r="A457" t="s">
        <v>490</v>
      </c>
      <c r="B457" s="1">
        <v>46191</v>
      </c>
      <c r="C457" t="s">
        <v>25</v>
      </c>
      <c r="D457" t="s">
        <v>16</v>
      </c>
      <c r="E457">
        <v>4</v>
      </c>
      <c r="F457">
        <v>45000</v>
      </c>
      <c r="G457" t="s">
        <v>39</v>
      </c>
      <c r="H457">
        <f t="shared" si="7"/>
        <v>180000</v>
      </c>
      <c r="I457" t="str">
        <f>IFERROR(VLOOKUP(D457,'product master'!A:C,2,FALSE),"Not Found")</f>
        <v>Laptop</v>
      </c>
      <c r="J457" t="str">
        <f>IFERROR(VLOOKUP(D457,'product master'!A:C,3,FALSE),"Not Found")</f>
        <v>Electronics</v>
      </c>
    </row>
    <row r="458" spans="1:10" x14ac:dyDescent="0.3">
      <c r="A458" t="s">
        <v>491</v>
      </c>
      <c r="B458" s="1">
        <v>46192</v>
      </c>
      <c r="C458" t="s">
        <v>12</v>
      </c>
      <c r="D458" t="s">
        <v>22</v>
      </c>
      <c r="E458">
        <v>27</v>
      </c>
      <c r="F458">
        <v>320</v>
      </c>
      <c r="G458" t="s">
        <v>28</v>
      </c>
      <c r="H458">
        <f t="shared" si="7"/>
        <v>8640</v>
      </c>
      <c r="I458" t="str">
        <f>IFERROR(VLOOKUP(D458,'product master'!A:C,2,FALSE),"Not Found")</f>
        <v>Notebook Pack</v>
      </c>
      <c r="J458" t="str">
        <f>IFERROR(VLOOKUP(D458,'product master'!A:C,3,FALSE),"Not Found")</f>
        <v>Stationery</v>
      </c>
    </row>
    <row r="459" spans="1:10" x14ac:dyDescent="0.3">
      <c r="A459" t="s">
        <v>492</v>
      </c>
      <c r="B459" s="1">
        <v>46192</v>
      </c>
      <c r="C459" t="s">
        <v>25</v>
      </c>
      <c r="D459" t="s">
        <v>58</v>
      </c>
      <c r="E459">
        <v>3</v>
      </c>
      <c r="F459">
        <v>1200</v>
      </c>
      <c r="G459" t="s">
        <v>543</v>
      </c>
      <c r="H459">
        <f t="shared" si="7"/>
        <v>3600</v>
      </c>
      <c r="I459" t="str">
        <f>IFERROR(VLOOKUP(D459,'product master'!A:C,2,FALSE),"Not Found")</f>
        <v>Keyboard</v>
      </c>
      <c r="J459" t="str">
        <f>IFERROR(VLOOKUP(D459,'product master'!A:C,3,FALSE),"Not Found")</f>
        <v>Accessories</v>
      </c>
    </row>
    <row r="460" spans="1:10" x14ac:dyDescent="0.3">
      <c r="A460" t="s">
        <v>493</v>
      </c>
      <c r="B460" s="1">
        <v>46193</v>
      </c>
      <c r="C460" t="s">
        <v>18</v>
      </c>
      <c r="D460" t="s">
        <v>22</v>
      </c>
      <c r="E460">
        <v>44</v>
      </c>
      <c r="F460">
        <v>320</v>
      </c>
      <c r="G460" t="s">
        <v>20</v>
      </c>
      <c r="H460">
        <f t="shared" si="7"/>
        <v>14080</v>
      </c>
      <c r="I460" t="str">
        <f>IFERROR(VLOOKUP(D460,'product master'!A:C,2,FALSE),"Not Found")</f>
        <v>Notebook Pack</v>
      </c>
      <c r="J460" t="str">
        <f>IFERROR(VLOOKUP(D460,'product master'!A:C,3,FALSE),"Not Found")</f>
        <v>Stationery</v>
      </c>
    </row>
    <row r="461" spans="1:10" x14ac:dyDescent="0.3">
      <c r="A461" t="s">
        <v>494</v>
      </c>
      <c r="B461" s="1">
        <v>46193</v>
      </c>
      <c r="C461" t="s">
        <v>12</v>
      </c>
      <c r="D461" t="s">
        <v>22</v>
      </c>
      <c r="E461">
        <v>10</v>
      </c>
      <c r="F461">
        <v>320</v>
      </c>
      <c r="G461" t="s">
        <v>43</v>
      </c>
      <c r="H461">
        <f t="shared" si="7"/>
        <v>3200</v>
      </c>
      <c r="I461" t="str">
        <f>IFERROR(VLOOKUP(D461,'product master'!A:C,2,FALSE),"Not Found")</f>
        <v>Notebook Pack</v>
      </c>
      <c r="J461" t="str">
        <f>IFERROR(VLOOKUP(D461,'product master'!A:C,3,FALSE),"Not Found")</f>
        <v>Stationery</v>
      </c>
    </row>
    <row r="462" spans="1:10" x14ac:dyDescent="0.3">
      <c r="A462" t="s">
        <v>495</v>
      </c>
      <c r="B462" s="1">
        <v>46193</v>
      </c>
      <c r="C462" t="s">
        <v>12</v>
      </c>
      <c r="D462" t="s">
        <v>13</v>
      </c>
      <c r="E462">
        <v>14</v>
      </c>
      <c r="F462">
        <v>180</v>
      </c>
      <c r="G462" t="s">
        <v>14</v>
      </c>
      <c r="H462">
        <f t="shared" si="7"/>
        <v>2520</v>
      </c>
      <c r="I462" t="str">
        <f>IFERROR(VLOOKUP(D462,'product master'!A:C,2,FALSE),"Not Found")</f>
        <v>Pen Box</v>
      </c>
      <c r="J462" t="str">
        <f>IFERROR(VLOOKUP(D462,'product master'!A:C,3,FALSE),"Not Found")</f>
        <v>Stationery</v>
      </c>
    </row>
    <row r="463" spans="1:10" x14ac:dyDescent="0.3">
      <c r="A463" t="s">
        <v>496</v>
      </c>
      <c r="B463" s="1">
        <v>46193</v>
      </c>
      <c r="C463" t="s">
        <v>12</v>
      </c>
      <c r="D463" t="s">
        <v>19</v>
      </c>
      <c r="E463">
        <v>8</v>
      </c>
      <c r="F463">
        <v>650</v>
      </c>
      <c r="G463" t="s">
        <v>43</v>
      </c>
      <c r="H463">
        <f t="shared" si="7"/>
        <v>5200</v>
      </c>
      <c r="I463" t="str">
        <f>IFERROR(VLOOKUP(D463,'product master'!A:C,2,FALSE),"Not Found")</f>
        <v>Wireless Mouse</v>
      </c>
      <c r="J463" t="str">
        <f>IFERROR(VLOOKUP(D463,'product master'!A:C,3,FALSE),"Not Found")</f>
        <v>Accessories</v>
      </c>
    </row>
    <row r="464" spans="1:10" x14ac:dyDescent="0.3">
      <c r="A464" t="s">
        <v>497</v>
      </c>
      <c r="B464" s="1">
        <v>46194</v>
      </c>
      <c r="C464" t="s">
        <v>8</v>
      </c>
      <c r="D464" t="s">
        <v>19</v>
      </c>
      <c r="E464">
        <v>13</v>
      </c>
      <c r="F464">
        <v>650</v>
      </c>
      <c r="G464" t="s">
        <v>49</v>
      </c>
      <c r="H464">
        <f t="shared" si="7"/>
        <v>8450</v>
      </c>
      <c r="I464" t="str">
        <f>IFERROR(VLOOKUP(D464,'product master'!A:C,2,FALSE),"Not Found")</f>
        <v>Wireless Mouse</v>
      </c>
      <c r="J464" t="str">
        <f>IFERROR(VLOOKUP(D464,'product master'!A:C,3,FALSE),"Not Found")</f>
        <v>Accessories</v>
      </c>
    </row>
    <row r="465" spans="1:10" x14ac:dyDescent="0.3">
      <c r="A465" t="s">
        <v>498</v>
      </c>
      <c r="B465" s="1">
        <v>46194</v>
      </c>
      <c r="C465" t="s">
        <v>18</v>
      </c>
      <c r="D465" t="s">
        <v>22</v>
      </c>
      <c r="E465">
        <v>68</v>
      </c>
      <c r="F465">
        <v>320</v>
      </c>
      <c r="G465" t="s">
        <v>30</v>
      </c>
      <c r="H465">
        <f t="shared" si="7"/>
        <v>21760</v>
      </c>
      <c r="I465" t="str">
        <f>IFERROR(VLOOKUP(D465,'product master'!A:C,2,FALSE),"Not Found")</f>
        <v>Notebook Pack</v>
      </c>
      <c r="J465" t="str">
        <f>IFERROR(VLOOKUP(D465,'product master'!A:C,3,FALSE),"Not Found")</f>
        <v>Stationery</v>
      </c>
    </row>
    <row r="466" spans="1:10" x14ac:dyDescent="0.3">
      <c r="A466" t="s">
        <v>499</v>
      </c>
      <c r="B466" s="1">
        <v>46194</v>
      </c>
      <c r="C466" t="s">
        <v>25</v>
      </c>
      <c r="D466" t="s">
        <v>22</v>
      </c>
      <c r="E466">
        <v>40</v>
      </c>
      <c r="F466">
        <v>320</v>
      </c>
      <c r="G466" t="s">
        <v>26</v>
      </c>
      <c r="H466">
        <f t="shared" si="7"/>
        <v>12800</v>
      </c>
      <c r="I466" t="str">
        <f>IFERROR(VLOOKUP(D466,'product master'!A:C,2,FALSE),"Not Found")</f>
        <v>Notebook Pack</v>
      </c>
      <c r="J466" t="str">
        <f>IFERROR(VLOOKUP(D466,'product master'!A:C,3,FALSE),"Not Found")</f>
        <v>Stationery</v>
      </c>
    </row>
    <row r="467" spans="1:10" x14ac:dyDescent="0.3">
      <c r="A467" t="s">
        <v>500</v>
      </c>
      <c r="B467" s="1">
        <v>46194</v>
      </c>
      <c r="C467" t="s">
        <v>25</v>
      </c>
      <c r="D467" t="s">
        <v>51</v>
      </c>
      <c r="E467">
        <v>14</v>
      </c>
      <c r="F467">
        <v>2200</v>
      </c>
      <c r="G467" t="s">
        <v>39</v>
      </c>
      <c r="H467">
        <f t="shared" si="7"/>
        <v>30800</v>
      </c>
      <c r="I467" t="str">
        <f>IFERROR(VLOOKUP(D467,'product master'!A:C,2,FALSE),"Not Found")</f>
        <v>Headphones</v>
      </c>
      <c r="J467" t="str">
        <f>IFERROR(VLOOKUP(D467,'product master'!A:C,3,FALSE),"Not Found")</f>
        <v>Accessories</v>
      </c>
    </row>
    <row r="468" spans="1:10" x14ac:dyDescent="0.3">
      <c r="A468" t="s">
        <v>501</v>
      </c>
      <c r="B468" s="1">
        <v>46195</v>
      </c>
      <c r="C468" t="s">
        <v>25</v>
      </c>
      <c r="D468" t="s">
        <v>51</v>
      </c>
      <c r="E468">
        <v>4</v>
      </c>
      <c r="F468">
        <v>2200</v>
      </c>
      <c r="G468" t="s">
        <v>47</v>
      </c>
      <c r="H468">
        <f t="shared" si="7"/>
        <v>8800</v>
      </c>
      <c r="I468" t="str">
        <f>IFERROR(VLOOKUP(D468,'product master'!A:C,2,FALSE),"Not Found")</f>
        <v>Headphones</v>
      </c>
      <c r="J468" t="str">
        <f>IFERROR(VLOOKUP(D468,'product master'!A:C,3,FALSE),"Not Found")</f>
        <v>Accessories</v>
      </c>
    </row>
    <row r="469" spans="1:10" x14ac:dyDescent="0.3">
      <c r="A469" t="s">
        <v>502</v>
      </c>
      <c r="B469" s="1">
        <v>46196</v>
      </c>
      <c r="C469" t="s">
        <v>8</v>
      </c>
      <c r="D469" t="s">
        <v>22</v>
      </c>
      <c r="E469">
        <v>43</v>
      </c>
      <c r="F469">
        <v>320</v>
      </c>
      <c r="G469" t="s">
        <v>10</v>
      </c>
      <c r="H469">
        <f t="shared" si="7"/>
        <v>13760</v>
      </c>
      <c r="I469" t="str">
        <f>IFERROR(VLOOKUP(D469,'product master'!A:C,2,FALSE),"Not Found")</f>
        <v>Notebook Pack</v>
      </c>
      <c r="J469" t="str">
        <f>IFERROR(VLOOKUP(D469,'product master'!A:C,3,FALSE),"Not Found")</f>
        <v>Stationery</v>
      </c>
    </row>
    <row r="470" spans="1:10" x14ac:dyDescent="0.3">
      <c r="A470" t="s">
        <v>503</v>
      </c>
      <c r="B470" s="1">
        <v>46196</v>
      </c>
      <c r="C470" t="s">
        <v>12</v>
      </c>
      <c r="D470" t="s">
        <v>13</v>
      </c>
      <c r="E470">
        <v>21</v>
      </c>
      <c r="F470">
        <v>180</v>
      </c>
      <c r="G470" t="s">
        <v>43</v>
      </c>
      <c r="H470">
        <f t="shared" si="7"/>
        <v>3780</v>
      </c>
      <c r="I470" t="str">
        <f>IFERROR(VLOOKUP(D470,'product master'!A:C,2,FALSE),"Not Found")</f>
        <v>Pen Box</v>
      </c>
      <c r="J470" t="str">
        <f>IFERROR(VLOOKUP(D470,'product master'!A:C,3,FALSE),"Not Found")</f>
        <v>Stationery</v>
      </c>
    </row>
    <row r="471" spans="1:10" x14ac:dyDescent="0.3">
      <c r="A471" t="s">
        <v>504</v>
      </c>
      <c r="B471" s="1">
        <v>46196</v>
      </c>
      <c r="C471" t="s">
        <v>8</v>
      </c>
      <c r="D471" t="s">
        <v>19</v>
      </c>
      <c r="E471">
        <v>9</v>
      </c>
      <c r="F471">
        <v>650</v>
      </c>
      <c r="G471" t="s">
        <v>23</v>
      </c>
      <c r="H471">
        <f t="shared" si="7"/>
        <v>5850</v>
      </c>
      <c r="I471" t="str">
        <f>IFERROR(VLOOKUP(D471,'product master'!A:C,2,FALSE),"Not Found")</f>
        <v>Wireless Mouse</v>
      </c>
      <c r="J471" t="str">
        <f>IFERROR(VLOOKUP(D471,'product master'!A:C,3,FALSE),"Not Found")</f>
        <v>Accessories</v>
      </c>
    </row>
    <row r="472" spans="1:10" x14ac:dyDescent="0.3">
      <c r="A472" t="s">
        <v>505</v>
      </c>
      <c r="B472" s="1">
        <v>46196</v>
      </c>
      <c r="C472" t="s">
        <v>25</v>
      </c>
      <c r="D472" t="s">
        <v>22</v>
      </c>
      <c r="E472">
        <v>38</v>
      </c>
      <c r="F472">
        <v>320</v>
      </c>
      <c r="G472" t="s">
        <v>26</v>
      </c>
      <c r="H472">
        <f t="shared" si="7"/>
        <v>12160</v>
      </c>
      <c r="I472" t="str">
        <f>IFERROR(VLOOKUP(D472,'product master'!A:C,2,FALSE),"Not Found")</f>
        <v>Notebook Pack</v>
      </c>
      <c r="J472" t="str">
        <f>IFERROR(VLOOKUP(D472,'product master'!A:C,3,FALSE),"Not Found")</f>
        <v>Stationery</v>
      </c>
    </row>
    <row r="473" spans="1:10" x14ac:dyDescent="0.3">
      <c r="A473" t="s">
        <v>506</v>
      </c>
      <c r="B473" s="1">
        <v>46196</v>
      </c>
      <c r="C473" t="s">
        <v>25</v>
      </c>
      <c r="D473" t="s">
        <v>19</v>
      </c>
      <c r="E473">
        <v>17</v>
      </c>
      <c r="F473">
        <v>650</v>
      </c>
      <c r="G473" t="s">
        <v>47</v>
      </c>
      <c r="H473">
        <f t="shared" si="7"/>
        <v>11050</v>
      </c>
      <c r="I473" t="str">
        <f>IFERROR(VLOOKUP(D473,'product master'!A:C,2,FALSE),"Not Found")</f>
        <v>Wireless Mouse</v>
      </c>
      <c r="J473" t="str">
        <f>IFERROR(VLOOKUP(D473,'product master'!A:C,3,FALSE),"Not Found")</f>
        <v>Accessories</v>
      </c>
    </row>
    <row r="474" spans="1:10" x14ac:dyDescent="0.3">
      <c r="A474" t="s">
        <v>507</v>
      </c>
      <c r="B474" s="1">
        <v>46197</v>
      </c>
      <c r="C474" t="s">
        <v>8</v>
      </c>
      <c r="D474" t="s">
        <v>41</v>
      </c>
      <c r="E474">
        <v>2</v>
      </c>
      <c r="F474">
        <v>9800</v>
      </c>
      <c r="G474" t="s">
        <v>23</v>
      </c>
      <c r="H474">
        <f t="shared" si="7"/>
        <v>19600</v>
      </c>
      <c r="I474" t="str">
        <f>IFERROR(VLOOKUP(D474,'product master'!A:C,2,FALSE),"Not Found")</f>
        <v>Study Desk</v>
      </c>
      <c r="J474" t="str">
        <f>IFERROR(VLOOKUP(D474,'product master'!A:C,3,FALSE),"Not Found")</f>
        <v>Furniture</v>
      </c>
    </row>
    <row r="475" spans="1:10" x14ac:dyDescent="0.3">
      <c r="A475" t="s">
        <v>508</v>
      </c>
      <c r="B475" s="1">
        <v>46198</v>
      </c>
      <c r="C475" t="s">
        <v>8</v>
      </c>
      <c r="D475" t="s">
        <v>16</v>
      </c>
      <c r="E475">
        <v>3</v>
      </c>
      <c r="F475">
        <v>45000</v>
      </c>
      <c r="G475" t="s">
        <v>49</v>
      </c>
      <c r="H475">
        <f t="shared" si="7"/>
        <v>135000</v>
      </c>
      <c r="I475" t="str">
        <f>IFERROR(VLOOKUP(D475,'product master'!A:C,2,FALSE),"Not Found")</f>
        <v>Laptop</v>
      </c>
      <c r="J475" t="str">
        <f>IFERROR(VLOOKUP(D475,'product master'!A:C,3,FALSE),"Not Found")</f>
        <v>Electronics</v>
      </c>
    </row>
    <row r="476" spans="1:10" x14ac:dyDescent="0.3">
      <c r="A476" t="s">
        <v>509</v>
      </c>
      <c r="B476" s="1">
        <v>46198</v>
      </c>
      <c r="C476" t="s">
        <v>25</v>
      </c>
      <c r="D476" t="s">
        <v>9</v>
      </c>
      <c r="E476">
        <v>4</v>
      </c>
      <c r="F476">
        <v>7500</v>
      </c>
      <c r="G476" t="s">
        <v>26</v>
      </c>
      <c r="H476">
        <f t="shared" si="7"/>
        <v>30000</v>
      </c>
      <c r="I476" t="str">
        <f>IFERROR(VLOOKUP(D476,'product master'!A:C,2,FALSE),"Not Found")</f>
        <v>Office Chair</v>
      </c>
      <c r="J476" t="str">
        <f>IFERROR(VLOOKUP(D476,'product master'!A:C,3,FALSE),"Not Found")</f>
        <v>Furniture</v>
      </c>
    </row>
    <row r="477" spans="1:10" x14ac:dyDescent="0.3">
      <c r="A477" t="s">
        <v>510</v>
      </c>
      <c r="B477" s="1">
        <v>46198</v>
      </c>
      <c r="C477" t="s">
        <v>25</v>
      </c>
      <c r="D477" t="s">
        <v>58</v>
      </c>
      <c r="E477">
        <v>17</v>
      </c>
      <c r="F477">
        <v>1200</v>
      </c>
      <c r="G477" t="s">
        <v>26</v>
      </c>
      <c r="H477">
        <f t="shared" si="7"/>
        <v>20400</v>
      </c>
      <c r="I477" t="str">
        <f>IFERROR(VLOOKUP(D477,'product master'!A:C,2,FALSE),"Not Found")</f>
        <v>Keyboard</v>
      </c>
      <c r="J477" t="str">
        <f>IFERROR(VLOOKUP(D477,'product master'!A:C,3,FALSE),"Not Found")</f>
        <v>Accessories</v>
      </c>
    </row>
    <row r="478" spans="1:10" x14ac:dyDescent="0.3">
      <c r="A478" t="s">
        <v>511</v>
      </c>
      <c r="B478" s="1">
        <v>46198</v>
      </c>
      <c r="C478" t="s">
        <v>25</v>
      </c>
      <c r="D478" t="s">
        <v>180</v>
      </c>
      <c r="E478">
        <v>1</v>
      </c>
      <c r="F478">
        <v>9500</v>
      </c>
      <c r="G478" t="s">
        <v>39</v>
      </c>
      <c r="H478">
        <f t="shared" si="7"/>
        <v>9500</v>
      </c>
      <c r="I478" t="str">
        <f>IFERROR(VLOOKUP(D478,'product master'!A:C,2,FALSE),"Not Found")</f>
        <v>Printer</v>
      </c>
      <c r="J478" t="str">
        <f>IFERROR(VLOOKUP(D478,'product master'!A:C,3,FALSE),"Not Found")</f>
        <v>Electronics</v>
      </c>
    </row>
    <row r="479" spans="1:10" x14ac:dyDescent="0.3">
      <c r="A479" t="s">
        <v>512</v>
      </c>
      <c r="B479" s="1">
        <v>46199</v>
      </c>
      <c r="C479" t="s">
        <v>8</v>
      </c>
      <c r="D479" t="s">
        <v>41</v>
      </c>
      <c r="E479">
        <v>3</v>
      </c>
      <c r="F479">
        <v>9800</v>
      </c>
      <c r="G479" t="s">
        <v>10</v>
      </c>
      <c r="H479">
        <f t="shared" si="7"/>
        <v>29400</v>
      </c>
      <c r="I479" t="str">
        <f>IFERROR(VLOOKUP(D479,'product master'!A:C,2,FALSE),"Not Found")</f>
        <v>Study Desk</v>
      </c>
      <c r="J479" t="str">
        <f>IFERROR(VLOOKUP(D479,'product master'!A:C,3,FALSE),"Not Found")</f>
        <v>Furniture</v>
      </c>
    </row>
    <row r="480" spans="1:10" x14ac:dyDescent="0.3">
      <c r="A480" t="s">
        <v>513</v>
      </c>
      <c r="B480" s="1">
        <v>46199</v>
      </c>
      <c r="C480" t="s">
        <v>18</v>
      </c>
      <c r="D480" t="s">
        <v>19</v>
      </c>
      <c r="E480">
        <v>17</v>
      </c>
      <c r="F480">
        <v>650</v>
      </c>
      <c r="G480" t="s">
        <v>30</v>
      </c>
      <c r="H480">
        <f t="shared" si="7"/>
        <v>11050</v>
      </c>
      <c r="I480" t="str">
        <f>IFERROR(VLOOKUP(D480,'product master'!A:C,2,FALSE),"Not Found")</f>
        <v>Wireless Mouse</v>
      </c>
      <c r="J480" t="str">
        <f>IFERROR(VLOOKUP(D480,'product master'!A:C,3,FALSE),"Not Found")</f>
        <v>Accessories</v>
      </c>
    </row>
    <row r="481" spans="1:10" x14ac:dyDescent="0.3">
      <c r="A481" t="s">
        <v>514</v>
      </c>
      <c r="B481" s="1">
        <v>46199</v>
      </c>
      <c r="C481" t="s">
        <v>25</v>
      </c>
      <c r="D481" t="s">
        <v>58</v>
      </c>
      <c r="E481">
        <v>17</v>
      </c>
      <c r="F481">
        <v>1200</v>
      </c>
      <c r="G481" t="s">
        <v>39</v>
      </c>
      <c r="H481">
        <f t="shared" si="7"/>
        <v>20400</v>
      </c>
      <c r="I481" t="str">
        <f>IFERROR(VLOOKUP(D481,'product master'!A:C,2,FALSE),"Not Found")</f>
        <v>Keyboard</v>
      </c>
      <c r="J481" t="str">
        <f>IFERROR(VLOOKUP(D481,'product master'!A:C,3,FALSE),"Not Found")</f>
        <v>Accessories</v>
      </c>
    </row>
    <row r="482" spans="1:10" x14ac:dyDescent="0.3">
      <c r="A482" t="s">
        <v>515</v>
      </c>
      <c r="B482" s="1">
        <v>46200</v>
      </c>
      <c r="C482" t="s">
        <v>25</v>
      </c>
      <c r="D482" t="s">
        <v>22</v>
      </c>
      <c r="E482">
        <v>65</v>
      </c>
      <c r="F482">
        <v>320</v>
      </c>
      <c r="G482" t="s">
        <v>26</v>
      </c>
      <c r="H482">
        <f t="shared" si="7"/>
        <v>20800</v>
      </c>
      <c r="I482" t="str">
        <f>IFERROR(VLOOKUP(D482,'product master'!A:C,2,FALSE),"Not Found")</f>
        <v>Notebook Pack</v>
      </c>
      <c r="J482" t="str">
        <f>IFERROR(VLOOKUP(D482,'product master'!A:C,3,FALSE),"Not Found")</f>
        <v>Stationery</v>
      </c>
    </row>
    <row r="483" spans="1:10" x14ac:dyDescent="0.3">
      <c r="A483" t="s">
        <v>516</v>
      </c>
      <c r="B483" s="1">
        <v>46201</v>
      </c>
      <c r="C483" t="s">
        <v>12</v>
      </c>
      <c r="D483" t="s">
        <v>19</v>
      </c>
      <c r="E483">
        <v>10</v>
      </c>
      <c r="F483">
        <v>650</v>
      </c>
      <c r="G483" t="s">
        <v>14</v>
      </c>
      <c r="H483">
        <f t="shared" si="7"/>
        <v>6500</v>
      </c>
      <c r="I483" t="str">
        <f>IFERROR(VLOOKUP(D483,'product master'!A:C,2,FALSE),"Not Found")</f>
        <v>Wireless Mouse</v>
      </c>
      <c r="J483" t="str">
        <f>IFERROR(VLOOKUP(D483,'product master'!A:C,3,FALSE),"Not Found")</f>
        <v>Accessories</v>
      </c>
    </row>
    <row r="484" spans="1:10" x14ac:dyDescent="0.3">
      <c r="A484" t="s">
        <v>517</v>
      </c>
      <c r="B484" s="1">
        <v>46201</v>
      </c>
      <c r="C484" t="s">
        <v>18</v>
      </c>
      <c r="D484" t="s">
        <v>51</v>
      </c>
      <c r="E484">
        <v>8</v>
      </c>
      <c r="F484">
        <v>2200</v>
      </c>
      <c r="G484" t="s">
        <v>33</v>
      </c>
      <c r="H484">
        <f t="shared" si="7"/>
        <v>17600</v>
      </c>
      <c r="I484" t="str">
        <f>IFERROR(VLOOKUP(D484,'product master'!A:C,2,FALSE),"Not Found")</f>
        <v>Headphones</v>
      </c>
      <c r="J484" t="str">
        <f>IFERROR(VLOOKUP(D484,'product master'!A:C,3,FALSE),"Not Found")</f>
        <v>Accessories</v>
      </c>
    </row>
    <row r="485" spans="1:10" x14ac:dyDescent="0.3">
      <c r="A485" t="s">
        <v>518</v>
      </c>
      <c r="B485" s="1">
        <v>46201</v>
      </c>
      <c r="C485" t="s">
        <v>8</v>
      </c>
      <c r="D485" t="s">
        <v>19</v>
      </c>
      <c r="E485">
        <v>17</v>
      </c>
      <c r="F485">
        <v>650</v>
      </c>
      <c r="G485" t="s">
        <v>49</v>
      </c>
      <c r="H485">
        <f t="shared" si="7"/>
        <v>11050</v>
      </c>
      <c r="I485" t="str">
        <f>IFERROR(VLOOKUP(D485,'product master'!A:C,2,FALSE),"Not Found")</f>
        <v>Wireless Mouse</v>
      </c>
      <c r="J485" t="str">
        <f>IFERROR(VLOOKUP(D485,'product master'!A:C,3,FALSE),"Not Found")</f>
        <v>Accessories</v>
      </c>
    </row>
    <row r="486" spans="1:10" x14ac:dyDescent="0.3">
      <c r="A486" t="s">
        <v>519</v>
      </c>
      <c r="B486" s="1">
        <v>46202</v>
      </c>
      <c r="C486" t="s">
        <v>18</v>
      </c>
      <c r="D486" t="s">
        <v>180</v>
      </c>
      <c r="E486">
        <v>3</v>
      </c>
      <c r="F486">
        <v>9500</v>
      </c>
      <c r="G486" t="s">
        <v>33</v>
      </c>
      <c r="H486">
        <f t="shared" si="7"/>
        <v>28500</v>
      </c>
      <c r="I486" t="str">
        <f>IFERROR(VLOOKUP(D486,'product master'!A:C,2,FALSE),"Not Found")</f>
        <v>Printer</v>
      </c>
      <c r="J486" t="str">
        <f>IFERROR(VLOOKUP(D486,'product master'!A:C,3,FALSE),"Not Found")</f>
        <v>Electronics</v>
      </c>
    </row>
    <row r="487" spans="1:10" x14ac:dyDescent="0.3">
      <c r="A487" t="s">
        <v>520</v>
      </c>
      <c r="B487" s="1">
        <v>46202</v>
      </c>
      <c r="C487" t="s">
        <v>8</v>
      </c>
      <c r="D487" t="s">
        <v>22</v>
      </c>
      <c r="E487">
        <v>76</v>
      </c>
      <c r="F487">
        <v>320</v>
      </c>
      <c r="G487" t="s">
        <v>23</v>
      </c>
      <c r="H487">
        <f t="shared" si="7"/>
        <v>24320</v>
      </c>
      <c r="I487" t="str">
        <f>IFERROR(VLOOKUP(D487,'product master'!A:C,2,FALSE),"Not Found")</f>
        <v>Notebook Pack</v>
      </c>
      <c r="J487" t="str">
        <f>IFERROR(VLOOKUP(D487,'product master'!A:C,3,FALSE),"Not Found")</f>
        <v>Stationery</v>
      </c>
    </row>
    <row r="488" spans="1:10" x14ac:dyDescent="0.3">
      <c r="A488" t="s">
        <v>521</v>
      </c>
      <c r="B488" s="1">
        <v>46202</v>
      </c>
      <c r="C488" t="s">
        <v>25</v>
      </c>
      <c r="D488" t="s">
        <v>58</v>
      </c>
      <c r="E488">
        <v>9</v>
      </c>
      <c r="F488">
        <v>1200</v>
      </c>
      <c r="G488" t="s">
        <v>39</v>
      </c>
      <c r="H488">
        <f t="shared" si="7"/>
        <v>10800</v>
      </c>
      <c r="I488" t="str">
        <f>IFERROR(VLOOKUP(D488,'product master'!A:C,2,FALSE),"Not Found")</f>
        <v>Keyboard</v>
      </c>
      <c r="J488" t="str">
        <f>IFERROR(VLOOKUP(D488,'product master'!A:C,3,FALSE),"Not Found")</f>
        <v>Accessories</v>
      </c>
    </row>
    <row r="489" spans="1:10" x14ac:dyDescent="0.3">
      <c r="A489" t="s">
        <v>522</v>
      </c>
      <c r="B489" s="1">
        <v>46203</v>
      </c>
      <c r="C489" t="s">
        <v>25</v>
      </c>
      <c r="D489" t="s">
        <v>41</v>
      </c>
      <c r="E489">
        <v>2</v>
      </c>
      <c r="F489">
        <v>9800</v>
      </c>
      <c r="G489" t="s">
        <v>26</v>
      </c>
      <c r="H489">
        <f t="shared" si="7"/>
        <v>19600</v>
      </c>
      <c r="I489" t="str">
        <f>IFERROR(VLOOKUP(D489,'product master'!A:C,2,FALSE),"Not Found")</f>
        <v>Study Desk</v>
      </c>
      <c r="J489" t="str">
        <f>IFERROR(VLOOKUP(D489,'product master'!A:C,3,FALSE),"Not Found")</f>
        <v>Furniture</v>
      </c>
    </row>
    <row r="490" spans="1:10" x14ac:dyDescent="0.3">
      <c r="A490" t="s">
        <v>523</v>
      </c>
      <c r="B490" s="1">
        <v>46203</v>
      </c>
      <c r="C490" t="s">
        <v>25</v>
      </c>
      <c r="D490" t="s">
        <v>58</v>
      </c>
      <c r="E490">
        <v>6</v>
      </c>
      <c r="F490">
        <v>1200</v>
      </c>
      <c r="G490" t="s">
        <v>47</v>
      </c>
      <c r="H490">
        <f t="shared" si="7"/>
        <v>7200</v>
      </c>
      <c r="I490" t="str">
        <f>IFERROR(VLOOKUP(D490,'product master'!A:C,2,FALSE),"Not Found")</f>
        <v>Keyboard</v>
      </c>
      <c r="J490" t="str">
        <f>IFERROR(VLOOKUP(D490,'product master'!A:C,3,FALSE),"Not Found")</f>
        <v>Accessories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E066-E574-4899-B037-B6537221B71B}">
  <dimension ref="A1:C12"/>
  <sheetViews>
    <sheetView workbookViewId="0"/>
  </sheetViews>
  <sheetFormatPr defaultRowHeight="14.4" x14ac:dyDescent="0.3"/>
  <cols>
    <col min="1" max="1" width="10.6640625" bestFit="1" customWidth="1"/>
    <col min="2" max="2" width="13.77734375" bestFit="1" customWidth="1"/>
    <col min="3" max="3" width="10.88671875" bestFit="1" customWidth="1"/>
  </cols>
  <sheetData>
    <row r="1" spans="1:3" x14ac:dyDescent="0.3">
      <c r="A1" t="s">
        <v>524</v>
      </c>
      <c r="B1" t="s">
        <v>525</v>
      </c>
      <c r="C1" t="s">
        <v>526</v>
      </c>
    </row>
    <row r="2" spans="1:3" x14ac:dyDescent="0.3">
      <c r="A2" t="s">
        <v>3</v>
      </c>
      <c r="B2" t="s">
        <v>527</v>
      </c>
      <c r="C2" t="s">
        <v>528</v>
      </c>
    </row>
    <row r="3" spans="1:3" x14ac:dyDescent="0.3">
      <c r="A3" t="s">
        <v>16</v>
      </c>
      <c r="B3" t="s">
        <v>529</v>
      </c>
      <c r="C3" t="s">
        <v>530</v>
      </c>
    </row>
    <row r="4" spans="1:3" x14ac:dyDescent="0.3">
      <c r="A4" t="s">
        <v>36</v>
      </c>
      <c r="B4" t="s">
        <v>531</v>
      </c>
      <c r="C4" t="s">
        <v>530</v>
      </c>
    </row>
    <row r="5" spans="1:3" x14ac:dyDescent="0.3">
      <c r="A5" t="s">
        <v>180</v>
      </c>
      <c r="B5" t="s">
        <v>532</v>
      </c>
      <c r="C5" t="s">
        <v>530</v>
      </c>
    </row>
    <row r="6" spans="1:3" x14ac:dyDescent="0.3">
      <c r="A6" t="s">
        <v>19</v>
      </c>
      <c r="B6" t="s">
        <v>533</v>
      </c>
      <c r="C6" t="s">
        <v>534</v>
      </c>
    </row>
    <row r="7" spans="1:3" x14ac:dyDescent="0.3">
      <c r="A7" t="s">
        <v>58</v>
      </c>
      <c r="B7" t="s">
        <v>535</v>
      </c>
      <c r="C7" t="s">
        <v>534</v>
      </c>
    </row>
    <row r="8" spans="1:3" x14ac:dyDescent="0.3">
      <c r="A8" t="s">
        <v>51</v>
      </c>
      <c r="B8" t="s">
        <v>536</v>
      </c>
      <c r="C8" t="s">
        <v>534</v>
      </c>
    </row>
    <row r="9" spans="1:3" x14ac:dyDescent="0.3">
      <c r="A9" t="s">
        <v>9</v>
      </c>
      <c r="B9" t="s">
        <v>537</v>
      </c>
      <c r="C9" t="s">
        <v>538</v>
      </c>
    </row>
    <row r="10" spans="1:3" x14ac:dyDescent="0.3">
      <c r="A10" t="s">
        <v>41</v>
      </c>
      <c r="B10" t="s">
        <v>539</v>
      </c>
      <c r="C10" t="s">
        <v>538</v>
      </c>
    </row>
    <row r="11" spans="1:3" x14ac:dyDescent="0.3">
      <c r="A11" t="s">
        <v>22</v>
      </c>
      <c r="B11" t="s">
        <v>540</v>
      </c>
      <c r="C11" t="s">
        <v>541</v>
      </c>
    </row>
    <row r="12" spans="1:3" x14ac:dyDescent="0.3">
      <c r="A12" t="s">
        <v>13</v>
      </c>
      <c r="B12" t="s">
        <v>542</v>
      </c>
      <c r="C12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44449D-19E2-4417-B9CB-630DAD81A6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Charts</vt:lpstr>
      <vt:lpstr>Pivot</vt:lpstr>
      <vt:lpstr>SUMIF Analysis</vt:lpstr>
      <vt:lpstr>Clean data</vt:lpstr>
      <vt:lpstr>product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NASHINE</dc:creator>
  <cp:lastModifiedBy>RIYA NASHINE</cp:lastModifiedBy>
  <dcterms:created xsi:type="dcterms:W3CDTF">2026-10-15T12:16:31Z</dcterms:created>
  <dcterms:modified xsi:type="dcterms:W3CDTF">2026-10-26T17:55:24Z</dcterms:modified>
</cp:coreProperties>
</file>